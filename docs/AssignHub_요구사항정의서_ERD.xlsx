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hub\docs\"/>
    </mc:Choice>
  </mc:AlternateContent>
  <xr:revisionPtr revIDLastSave="0" documentId="13_ncr:1_{915662C1-C5FB-458D-9312-CAED39DC31A7}" xr6:coauthVersionLast="47" xr6:coauthVersionMax="47" xr10:uidLastSave="{00000000-0000-0000-0000-000000000000}"/>
  <bookViews>
    <workbookView xWindow="3465" yWindow="2250" windowWidth="21600" windowHeight="11295" xr2:uid="{C867C853-1BD9-4C61-8B6E-EBEFC9874430}"/>
  </bookViews>
  <sheets>
    <sheet name="개요" sheetId="1" r:id="rId1"/>
    <sheet name="요구사항정의서" sheetId="2" r:id="rId2"/>
    <sheet name="비즈니스규칙" sheetId="3" r:id="rId3"/>
    <sheet name="화면목록" sheetId="4" r:id="rId4"/>
    <sheet name="ERD" sheetId="5" r:id="rId5"/>
    <sheet name="테이블정의서" sheetId="6" r:id="rId6"/>
  </sheets>
  <definedNames>
    <definedName name="_xlnm._FilterDatabase" localSheetId="1" hidden="1">요구사항정의서!$A$4:$I$19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B20" i="1"/>
  <c r="C19" i="1"/>
  <c r="B19" i="1"/>
  <c r="C18" i="1"/>
  <c r="B18" i="1"/>
  <c r="D20" i="1" l="1"/>
  <c r="C21" i="1"/>
  <c r="D19" i="1"/>
  <c r="D18" i="1"/>
  <c r="B21" i="1"/>
  <c r="D21" i="1" l="1"/>
</calcChain>
</file>

<file path=xl/sharedStrings.xml><?xml version="1.0" encoding="utf-8"?>
<sst xmlns="http://schemas.openxmlformats.org/spreadsheetml/2006/main" count="663" uniqueCount="340">
  <si>
    <t>요구사항 정의서</t>
  </si>
  <si>
    <t>ID는 커밋 메시지 · 프롬프트 로그 · 평가표에서 그대로 사용 (예: "feat: S3 과제 제출 기간 검증")  |  상태 열은 드롭다운으로 수정</t>
  </si>
  <si>
    <t>ID</t>
  </si>
  <si>
    <t>구분</t>
  </si>
  <si>
    <t>요구사항명</t>
  </si>
  <si>
    <t>상세 설명</t>
  </si>
  <si>
    <t>관련 규칙</t>
  </si>
  <si>
    <t>화면 (URL)</t>
  </si>
  <si>
    <t>SB Admin 2 원본</t>
  </si>
  <si>
    <t>주차</t>
  </si>
  <si>
    <t>상태</t>
  </si>
  <si>
    <t>U1</t>
  </si>
  <si>
    <t>공통</t>
  </si>
  <si>
    <t>학생 회원가입</t>
  </si>
  <si>
    <t>학번·이름·이메일·비밀번호로 가입한다. 이메일·학번 중복 불가, 비밀번호 8자 이상 + 확인 일치, BCrypt 암호화 저장. 가입 역할은 항상 STUDENT (요청에 role을 끼워 넣어도 무시)</t>
  </si>
  <si>
    <t>-</t>
  </si>
  <si>
    <t>/signup</t>
  </si>
  <si>
    <t>register.html</t>
  </si>
  <si>
    <t>W1</t>
  </si>
  <si>
    <t>완료</t>
  </si>
  <si>
    <t>U2</t>
  </si>
  <si>
    <t>로그인 · 로그아웃</t>
  </si>
  <si>
    <t>Spring Security 세션 기반 폼 로그인 (이메일 + 비밀번호). 실패 시 오류 메시지 표시, 로그아웃은 POST(CSRF) 후 로그인 화면으로 이동</t>
  </si>
  <si>
    <t>/login</t>
  </si>
  <si>
    <t>login.html</t>
  </si>
  <si>
    <t>U3</t>
  </si>
  <si>
    <t>역할별 메뉴</t>
  </si>
  <si>
    <t>강사 / 학생 사이드바 분리 (sec:authorize). /instructor/** 는 강사만, /student/** 는 학생만 접근 가능하며 위반 시 403 페이지</t>
  </si>
  <si>
    <t>/ · /error/403 · /error/404</t>
  </si>
  <si>
    <t>index.html · 404.html</t>
  </si>
  <si>
    <t>U4</t>
  </si>
  <si>
    <t>강사 계정</t>
  </si>
  <si>
    <t>강사 계정은 앱 시작 시 초기 데이터로 생성한다. 회원가입으로는 강사 계정을 만들 수 없다</t>
  </si>
  <si>
    <t>I1</t>
  </si>
  <si>
    <t>강사</t>
  </si>
  <si>
    <t>강좌 개설</t>
  </si>
  <si>
    <t>강좌명을 입력해 강좌를 개설하면 참여코드가 자동 발급된다 (중복 없음)</t>
  </si>
  <si>
    <t>/instructor/courses</t>
  </si>
  <si>
    <t>tables.html · cards.html</t>
  </si>
  <si>
    <t>W2</t>
  </si>
  <si>
    <t>I2</t>
  </si>
  <si>
    <t>수강생 목록</t>
  </si>
  <si>
    <t>강좌 상세에서 참여코드와 등록 학생(학번·이름·이메일·등록일)을 조회한다. 본인 강좌만 조회 가능</t>
  </si>
  <si>
    <t>B5</t>
  </si>
  <si>
    <t>/instructor/courses/{id}</t>
  </si>
  <si>
    <t>cards.html</t>
  </si>
  <si>
    <t>I3</t>
  </si>
  <si>
    <t>과제 등록 · 수정 · 삭제</t>
  </si>
  <si>
    <t>제목·내용·시작일시·종료일시·배점·첨부파일로 과제를 관리한다</t>
  </si>
  <si>
    <t>B5 · B7 · B8</t>
  </si>
  <si>
    <t>/instructor/assignments/new · /{id}/edit</t>
  </si>
  <si>
    <t>forms (카드 + form)</t>
  </si>
  <si>
    <t>I4</t>
  </si>
  <si>
    <t>제출 현황</t>
  </si>
  <si>
    <t>과제별 제출자 목록과 미제출자 목록을 조회한다</t>
  </si>
  <si>
    <t>/instructor/assignments/{id}/submissions</t>
  </si>
  <si>
    <t>tables.html (DataTables)</t>
  </si>
  <si>
    <t>W3</t>
  </si>
  <si>
    <t>I5</t>
  </si>
  <si>
    <t>채점 · 피드백</t>
  </si>
  <si>
    <t>제출물에 점수와 코멘트를 입력하면 제출 상태가 GRADED로 바뀐다</t>
  </si>
  <si>
    <t>B4 · B5 · B6</t>
  </si>
  <si>
    <t>/instructor/submissions/{id}/grade</t>
  </si>
  <si>
    <t>cards.html + form</t>
  </si>
  <si>
    <t>I6</t>
  </si>
  <si>
    <t>통계 대시보드</t>
  </si>
  <si>
    <t>과제별 제출률 · 평균 점수 · 미제출자를 카드와 차트(Chart.js)로 보여준다</t>
  </si>
  <si>
    <t>/instructor/stats</t>
  </si>
  <si>
    <t>charts.html</t>
  </si>
  <si>
    <t>W4</t>
  </si>
  <si>
    <t>S1</t>
  </si>
  <si>
    <t>학생</t>
  </si>
  <si>
    <t>수강 등록</t>
  </si>
  <si>
    <t>참여코드를 입력해 강좌에 등록한다. 같은 강좌 중복 등록 불가</t>
  </si>
  <si>
    <t>/student/courses/join</t>
  </si>
  <si>
    <t>forms</t>
  </si>
  <si>
    <t>S2</t>
  </si>
  <si>
    <t>내 과제 목록</t>
  </si>
  <si>
    <t>등록한 강좌의 과제만 조회하고 예정 · 진행중 · 마감 배지를 표시한다</t>
  </si>
  <si>
    <t>B2</t>
  </si>
  <si>
    <t>/student/assignments</t>
  </si>
  <si>
    <t>tables.html</t>
  </si>
  <si>
    <t>S3</t>
  </si>
  <si>
    <t>과제 제출 · 재제출</t>
  </si>
  <si>
    <t>제출 기간 안에서만 제출 가능 (서버 검증), 파일 첨부 가능, 재제출 시 기존 제출을 덮어쓴다</t>
  </si>
  <si>
    <t>B1 · B2 · B3 · B4</t>
  </si>
  <si>
    <t>/student/assignments/{id}</t>
  </si>
  <si>
    <t>S4</t>
  </si>
  <si>
    <t>결과 확인</t>
  </si>
  <si>
    <t>내 제출물의 점수와 피드백을 조회한다</t>
  </si>
  <si>
    <t>/student/submissions</t>
  </si>
  <si>
    <t>S5</t>
  </si>
  <si>
    <t>내 통계</t>
  </si>
  <si>
    <t>제출률 · 평균 점수 · 마감 임박 과제를 학생 대시보드에 보여준다</t>
  </si>
  <si>
    <t>/ (학생 대시보드)</t>
  </si>
  <si>
    <t>index.html</t>
  </si>
  <si>
    <t>비즈니스 규칙 (B1 ~ B8)</t>
  </si>
  <si>
    <t>화면에서 막는 것은 "편의", 서버에서 막는 것은 "보안" — 모든 규칙은 서버(Service)에서 검사해야 인정</t>
  </si>
  <si>
    <t>#</t>
  </si>
  <si>
    <t>규칙</t>
  </si>
  <si>
    <t>관련 기능</t>
  </si>
  <si>
    <t>위반 시 처리</t>
  </si>
  <si>
    <t>검사 위치 (Service)</t>
  </si>
  <si>
    <t>구현 방식</t>
  </si>
  <si>
    <t>B1</t>
  </si>
  <si>
    <t>제출은 시작일시 ≤ 현재 ≤ 종료일시 일 때만 가능</t>
  </si>
  <si>
    <t>"제출 기간이 아닙니다" 알림</t>
  </si>
  <si>
    <t>SubmissionService.submit()</t>
  </si>
  <si>
    <t>제출 버튼 비활성화(화면)와 별개로 서버에서 검사 — 개발자도구로 강제 요청해도 차단 (시연 시 직접 시험)</t>
  </si>
  <si>
    <t>해당 강좌에 수강 등록된 학생만 과제 열람 · 제출</t>
  </si>
  <si>
    <t>S2 · S3</t>
  </si>
  <si>
    <t>403 페이지</t>
  </si>
  <si>
    <t>AssignmentService / SubmissionService</t>
  </si>
  <si>
    <t>enrollment 존재 여부 확인 → 없으면 AccessDeniedException</t>
  </si>
  <si>
    <t>B3</t>
  </si>
  <si>
    <t>과제당 학생 1건 — 기간 내 재제출은 덮어쓰기</t>
  </si>
  <si>
    <t>기존 제출 수정</t>
  </si>
  <si>
    <t>기존 제출이 있으면 수정, 없으면 신규 저장 + DB UNIQUE(assignment_id, student_id)</t>
  </si>
  <si>
    <t>B4</t>
  </si>
  <si>
    <t>채점 완료(GRADED)된 제출은 재제출 불가</t>
  </si>
  <si>
    <t>S3 · I5</t>
  </si>
  <si>
    <t>"채점 완료된 과제" 알림</t>
  </si>
  <si>
    <t>기존 제출의 status == GRADED 이면 거부</t>
  </si>
  <si>
    <t>강사는 본인 강좌의 과제만 수정 · 삭제 · 채점</t>
  </si>
  <si>
    <t>I3 · I5</t>
  </si>
  <si>
    <t>AssignmentService / SubmissionService.grade()</t>
  </si>
  <si>
    <t>course.instructor.id == 로그인 사용자 id 확인</t>
  </si>
  <si>
    <t>B6</t>
  </si>
  <si>
    <t>점수는 0 이상 배점(max_score) 이하</t>
  </si>
  <si>
    <t>폼 에러 메시지</t>
  </si>
  <si>
    <t>SubmissionService.grade()</t>
  </si>
  <si>
    <t>BindingResult.rejectValue("score", ...)</t>
  </si>
  <si>
    <t>B7</t>
  </si>
  <si>
    <t>종료일시는 시작일시보다 뒤</t>
  </si>
  <si>
    <t>AssignmentService.create() / update()</t>
  </si>
  <si>
    <t>endAt.isAfter(startAt)</t>
  </si>
  <si>
    <t>B8</t>
  </si>
  <si>
    <t>제출이 1건이라도 있는 과제는 삭제 불가</t>
  </si>
  <si>
    <t>"제출물이 있어 삭제 불가" 알림</t>
  </si>
  <si>
    <t>AssignmentService.delete()</t>
  </si>
  <si>
    <t>submissionRepository.existsByAssignmentId()</t>
  </si>
  <si>
    <t>화면 목록 — SB Admin 2 페이지 매핑</t>
  </si>
  <si>
    <t>새 화면을 디자인하지 않고 SB Admin 2 페이지를 복사해 내용만 바꾼다</t>
  </si>
  <si>
    <t>역할</t>
  </si>
  <si>
    <t>URL</t>
  </si>
  <si>
    <t>화면</t>
  </si>
  <si>
    <t>요구사항</t>
  </si>
  <si>
    <t>/login · /signup</t>
  </si>
  <si>
    <t>로그인 · 학생 회원가입</t>
  </si>
  <si>
    <t>login.html · register.html</t>
  </si>
  <si>
    <t>U1 · U2</t>
  </si>
  <si>
    <t>/</t>
  </si>
  <si>
    <t>역할별 대시보드 (카드 + 차트)</t>
  </si>
  <si>
    <t>U3 · S5</t>
  </si>
  <si>
    <t>/instructor/courses · /{id}</t>
  </si>
  <si>
    <t>강좌 목록 · 상세 (참여코드 · 수강생)</t>
  </si>
  <si>
    <t>I1 · I2</t>
  </si>
  <si>
    <t>과제 등록 · 수정 폼</t>
  </si>
  <si>
    <t>제출 현황 + 미제출자</t>
  </si>
  <si>
    <t>채점 · 피드백 입력</t>
  </si>
  <si>
    <t>참여코드 입력</t>
  </si>
  <si>
    <t>/student/assignments · /{id}</t>
  </si>
  <si>
    <t>내 과제 목록 · 상세 + 제출</t>
  </si>
  <si>
    <t>내 제출 · 점수 · 피드백</t>
  </si>
  <si>
    <t>/error/403 · /error/404</t>
  </si>
  <si>
    <t>권한 없음 · 없는 페이지</t>
  </si>
  <si>
    <t>404.html</t>
  </si>
  <si>
    <t>테이블 정의서</t>
  </si>
  <si>
    <t>DB: PostgreSQL 16  |  관계와 필수 컬럼은 수업 제공 ERD 기준 (컬럼 추가 시 README에 이유 기록)</t>
  </si>
  <si>
    <t>테이블</t>
  </si>
  <si>
    <t>No</t>
  </si>
  <si>
    <t>컬럼명</t>
  </si>
  <si>
    <t>논리명</t>
  </si>
  <si>
    <t>데이터 타입</t>
  </si>
  <si>
    <t>PK</t>
  </si>
  <si>
    <t>FK (참조)</t>
  </si>
  <si>
    <t>NULL 허용</t>
  </si>
  <si>
    <t>UNIQUE</t>
  </si>
  <si>
    <t>설명</t>
  </si>
  <si>
    <t>users</t>
  </si>
  <si>
    <t>1</t>
  </si>
  <si>
    <t>id</t>
  </si>
  <si>
    <t>사용자 ID</t>
  </si>
  <si>
    <t>BIGINT</t>
  </si>
  <si>
    <t>●</t>
  </si>
  <si>
    <t/>
  </si>
  <si>
    <t>N</t>
  </si>
  <si>
    <t>IDENTITY 자동 증가</t>
  </si>
  <si>
    <t>2</t>
  </si>
  <si>
    <t>email</t>
  </si>
  <si>
    <t>이메일</t>
  </si>
  <si>
    <t>VARCHAR(100)</t>
  </si>
  <si>
    <t>로그인 ID로 사용 (소문자로 저장)</t>
  </si>
  <si>
    <t>3</t>
  </si>
  <si>
    <t>password</t>
  </si>
  <si>
    <t>비밀번호</t>
  </si>
  <si>
    <t>VARCHAR(255)</t>
  </si>
  <si>
    <t>BCrypt 해시</t>
  </si>
  <si>
    <t>4</t>
  </si>
  <si>
    <t>name</t>
  </si>
  <si>
    <t>이름</t>
  </si>
  <si>
    <t>VARCHAR(50)</t>
  </si>
  <si>
    <t>5</t>
  </si>
  <si>
    <t>student_no</t>
  </si>
  <si>
    <t>학번</t>
  </si>
  <si>
    <t>VARCHAR(20)</t>
  </si>
  <si>
    <t>Y</t>
  </si>
  <si>
    <t>강사는 NULL</t>
  </si>
  <si>
    <t>6</t>
  </si>
  <si>
    <t>role</t>
  </si>
  <si>
    <t>INSTRUCTOR / STUDENT (Enum 문자열 저장)</t>
  </si>
  <si>
    <t>course</t>
  </si>
  <si>
    <t>강좌 ID</t>
  </si>
  <si>
    <t>instructor_id</t>
  </si>
  <si>
    <t>담당 강사</t>
  </si>
  <si>
    <t>users.id</t>
  </si>
  <si>
    <t>강사 1 : N 강좌</t>
  </si>
  <si>
    <t>강좌명</t>
  </si>
  <si>
    <t>join_code</t>
  </si>
  <si>
    <t>참여코드</t>
  </si>
  <si>
    <t>개설 시 자동 발급 (I1)</t>
  </si>
  <si>
    <t>created_at</t>
  </si>
  <si>
    <t>개설일시</t>
  </si>
  <si>
    <t>TIMESTAMP</t>
  </si>
  <si>
    <t>enrollment</t>
  </si>
  <si>
    <t>수강 ID</t>
  </si>
  <si>
    <t>course_id</t>
  </si>
  <si>
    <t>강좌</t>
  </si>
  <si>
    <t>course.id</t>
  </si>
  <si>
    <t>● (복합)</t>
  </si>
  <si>
    <t>UNIQUE(course_id, student_id) — 중복 수강 불가 (S1)</t>
  </si>
  <si>
    <t>student_id</t>
  </si>
  <si>
    <t>course N : M users(학생) 중간 테이블</t>
  </si>
  <si>
    <t>joined_at</t>
  </si>
  <si>
    <t>등록일시</t>
  </si>
  <si>
    <t>assignment</t>
  </si>
  <si>
    <t>과제 ID</t>
  </si>
  <si>
    <t>강좌 1 : N 과제</t>
  </si>
  <si>
    <t>title</t>
  </si>
  <si>
    <t>제목</t>
  </si>
  <si>
    <t>VARCHAR(200)</t>
  </si>
  <si>
    <t>content</t>
  </si>
  <si>
    <t>내용</t>
  </si>
  <si>
    <t>TEXT</t>
  </si>
  <si>
    <t>start_at</t>
  </si>
  <si>
    <t>제출 시작일시</t>
  </si>
  <si>
    <t>B1 제출 가능 기간 시작</t>
  </si>
  <si>
    <t>end_at</t>
  </si>
  <si>
    <t>제출 종료일시</t>
  </si>
  <si>
    <t>B1 제출 가능 기간 끝 · B7 start_at보다 뒤</t>
  </si>
  <si>
    <t>7</t>
  </si>
  <si>
    <t>max_score</t>
  </si>
  <si>
    <t>배점</t>
  </si>
  <si>
    <t>INTEGER</t>
  </si>
  <si>
    <t>B6 점수 상한</t>
  </si>
  <si>
    <t>8</t>
  </si>
  <si>
    <t>file_path</t>
  </si>
  <si>
    <t>첨부파일 경로</t>
  </si>
  <si>
    <t>VARCHAR(500)</t>
  </si>
  <si>
    <t>9</t>
  </si>
  <si>
    <t>submission</t>
  </si>
  <si>
    <t>제출 ID</t>
  </si>
  <si>
    <t>assignment_id</t>
  </si>
  <si>
    <t>과제</t>
  </si>
  <si>
    <t>assignment.id</t>
  </si>
  <si>
    <t>UNIQUE(assignment_id, student_id) — 과제당 학생 1건 (B3)</t>
  </si>
  <si>
    <t>학생 1 : N 제출</t>
  </si>
  <si>
    <t>제출 내용</t>
  </si>
  <si>
    <t>submitted_at</t>
  </si>
  <si>
    <t>제출일시</t>
  </si>
  <si>
    <t>재제출 시 갱신 (B3)</t>
  </si>
  <si>
    <t>status</t>
  </si>
  <si>
    <t>SUBMITTED / GRADED — GRADED면 재제출 불가 (B4)</t>
  </si>
  <si>
    <t>score</t>
  </si>
  <si>
    <t>점수</t>
  </si>
  <si>
    <t>0 이상 max_score 이하 (B6)</t>
  </si>
  <si>
    <t>feedback</t>
  </si>
  <si>
    <t>피드백</t>
  </si>
  <si>
    <t>10</t>
  </si>
  <si>
    <t>graded_at</t>
  </si>
  <si>
    <t>채점일시</t>
  </si>
  <si>
    <t>ERD — 테이블 5개</t>
  </si>
  <si>
    <t>관계와 필수 컬럼은 수업 제공 ERD 기준  |  컬럼 상세(타입 · NULL · 설명)는 테이블정의서 시트 참고</t>
  </si>
  <si>
    <t>관계 정리</t>
  </si>
  <si>
    <t>관계</t>
  </si>
  <si>
    <t>부모 테이블</t>
  </si>
  <si>
    <t>자식 테이블</t>
  </si>
  <si>
    <t>카디널리티</t>
  </si>
  <si>
    <t>FK 컬럼</t>
  </si>
  <si>
    <t>R1</t>
  </si>
  <si>
    <t>users (강사)</t>
  </si>
  <si>
    <t>1 : N</t>
  </si>
  <si>
    <t>course.instructor_id</t>
  </si>
  <si>
    <t>강사 한 명이 여러 강좌를 개설</t>
  </si>
  <si>
    <t>R2</t>
  </si>
  <si>
    <t>assignment.course_id</t>
  </si>
  <si>
    <t>강좌마다 여러 과제</t>
  </si>
  <si>
    <t>R3</t>
  </si>
  <si>
    <t>course ↔ users (학생)</t>
  </si>
  <si>
    <t>N : M</t>
  </si>
  <si>
    <t>enrollment.course_id / enrollment.student_id</t>
  </si>
  <si>
    <t>중간 테이블 · UNIQUE(course_id, student_id)로 중복 수강 방지</t>
  </si>
  <si>
    <t>R4</t>
  </si>
  <si>
    <t>submission.assignment_id</t>
  </si>
  <si>
    <t>과제마다 여러 제출</t>
  </si>
  <si>
    <t>R5</t>
  </si>
  <si>
    <t>users (학생)</t>
  </si>
  <si>
    <t>submission.student_id</t>
  </si>
  <si>
    <t>UNIQUE(assignment_id, student_id)로 과제당 학생 1건 (B3)</t>
  </si>
  <si>
    <t>AssignHub — 과제 제출 · 채점 시스템</t>
  </si>
  <si>
    <t>요구사항 정의서 · ERD  |  자바스프링 중간고사 대체 프로젝트  |  작성일 2026-09-30</t>
  </si>
  <si>
    <t>항목</t>
  </si>
  <si>
    <t>프로젝트명</t>
  </si>
  <si>
    <t>AssignHub</t>
  </si>
  <si>
    <t>한 줄 소개</t>
  </si>
  <si>
    <t>강사가 과제를 내고, 수강생이 기간 안에 제출하고, 강사가 채점하고, 결과를 통계로 본다</t>
  </si>
  <si>
    <t>강사 (INSTRUCTOR) · 학생 (STUDENT)</t>
  </si>
  <si>
    <t>기간</t>
  </si>
  <si>
    <t>4주 — W1 설계 + 기반 → W2 강좌 · 과제 등록 → W3 제출 · 채점 → W4 통계 + 마무리</t>
  </si>
  <si>
    <t>백엔드</t>
  </si>
  <si>
    <t>Spring Boot 4.1.1 · Java 21 · Spring Data JPA</t>
  </si>
  <si>
    <t>인증</t>
  </si>
  <si>
    <t>Spring Security · 세션 기반 폼 로그인 · BCrypt</t>
  </si>
  <si>
    <t>Thymeleaf + Layout Dialect + thymeleaf-extras-springsecurity6 · SB Admin 2 (Bootstrap 4.6 · jQuery · Font Awesome 5)</t>
  </si>
  <si>
    <t>차트 · 표</t>
  </si>
  <si>
    <t>Chart.js 2.9 (SB Admin 2 내장) · DataTables</t>
  </si>
  <si>
    <t>DB</t>
  </si>
  <si>
    <t>PostgreSQL 16 (Docker) · 테스트는 H2 인메모리</t>
  </si>
  <si>
    <t>규모</t>
  </si>
  <si>
    <t>요구사항 15개 · 비즈니스 규칙 8개 · 테이블 5개 · 화면 11개</t>
  </si>
  <si>
    <t>진행 현황</t>
  </si>
  <si>
    <t>전체</t>
  </si>
  <si>
    <t>진행률</t>
  </si>
  <si>
    <t>합계</t>
  </si>
  <si>
    <t>사용 방법</t>
  </si>
  <si>
    <t>• 요구사항정의서 시트의 [상태] 열(I열)만 드롭다운(완료 / 진행중 / 예정)으로 수정하면 위 진행 현황이 자동 계산됩니다. 예) U1 행: 완료</t>
  </si>
  <si>
    <t>• 요구사항 ID(U1 ~ S5)와 규칙 ID(B1 ~ B8)는 커밋 메시지 · docs/prompt-log.md · 평가표에서 그대로 사용합니다.</t>
  </si>
  <si>
    <t>• 테이블 관계와 필수 컬럼은 수업 제공 ERD를 따르며, 컬럼을 추가하면 README에 이유를 기록합니다.</t>
  </si>
  <si>
    <t>완료</t>
    <phoneticPr fontId="4" type="noConversion"/>
  </si>
  <si>
    <t>완료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</si>
</sst>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rgb="FF2D2D37"/>
      <name val="맑은 고딕"/>
      <family val="3"/>
      <charset val="129"/>
      <scheme val="minor"/>
    </font>
    <font>
      <sz val="10"/>
      <color rgb="FF787A8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6E7078"/>
      <name val="맑은 고딕"/>
      <family val="3"/>
      <charset val="129"/>
      <scheme val="minor"/>
    </font>
    <font>
      <b/>
      <sz val="10"/>
      <color rgb="FF34A88C"/>
      <name val="맑은 고딕"/>
      <family val="3"/>
      <charset val="129"/>
      <scheme val="minor"/>
    </font>
    <font>
      <b/>
      <sz val="10"/>
      <color rgb="FFD65454"/>
      <name val="맑은 고딕"/>
      <family val="3"/>
      <charset val="129"/>
      <scheme val="minor"/>
    </font>
    <font>
      <sz val="10"/>
      <color rgb="FFD65454"/>
      <name val="맑은 고딕"/>
      <family val="2"/>
      <charset val="129"/>
      <scheme val="minor"/>
    </font>
    <font>
      <sz val="10"/>
      <color rgb="FF34A88C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32343C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A5C69"/>
        <bgColor indexed="64"/>
      </patternFill>
    </fill>
    <fill>
      <patternFill patternType="solid">
        <fgColor rgb="FFF6F7F9"/>
        <bgColor indexed="64"/>
      </patternFill>
    </fill>
    <fill>
      <patternFill patternType="solid">
        <fgColor rgb="FFE8EAEE"/>
        <bgColor indexed="64"/>
      </patternFill>
    </fill>
  </fills>
  <borders count="8">
    <border>
      <left/>
      <right/>
      <top/>
      <bottom/>
      <diagonal/>
    </border>
    <border>
      <left style="thin">
        <color rgb="FFCDCFD4"/>
      </left>
      <right style="thin">
        <color rgb="FFCDCFD4"/>
      </right>
      <top style="thin">
        <color rgb="FFCDCFD4"/>
      </top>
      <bottom style="thin">
        <color rgb="FFCDCFD4"/>
      </bottom>
      <diagonal/>
    </border>
    <border>
      <left style="thin">
        <color rgb="FFCDCFD4"/>
      </left>
      <right style="thin">
        <color rgb="FFCDCFD4"/>
      </right>
      <top style="thin">
        <color rgb="FFCDCFD4"/>
      </top>
      <bottom/>
      <diagonal/>
    </border>
    <border>
      <left style="thin">
        <color rgb="FFCDCFD4"/>
      </left>
      <right style="thin">
        <color rgb="FFCDCFD4"/>
      </right>
      <top/>
      <bottom/>
      <diagonal/>
    </border>
    <border>
      <left style="thin">
        <color rgb="FFCDCFD4"/>
      </left>
      <right style="thin">
        <color rgb="FFCDCFD4"/>
      </right>
      <top/>
      <bottom style="medium">
        <color rgb="FF5A5C69"/>
      </bottom>
      <diagonal/>
    </border>
    <border>
      <left style="thin">
        <color rgb="FFCDCFD4"/>
      </left>
      <right style="thin">
        <color rgb="FFCDCFD4"/>
      </right>
      <top style="thin">
        <color rgb="FFCDCFD4"/>
      </top>
      <bottom style="medium">
        <color rgb="FF5A5C69"/>
      </bottom>
      <diagonal/>
    </border>
    <border>
      <left style="thin">
        <color rgb="FFCDCFD4"/>
      </left>
      <right style="thin">
        <color rgb="FFCDCFD4"/>
      </right>
      <top style="medium">
        <color rgb="FF5A5C69"/>
      </top>
      <bottom/>
      <diagonal/>
    </border>
    <border>
      <left style="thin">
        <color rgb="FFCDCFD4"/>
      </left>
      <right style="thin">
        <color rgb="FFCDCFD4"/>
      </right>
      <top style="medium">
        <color rgb="FF5A5C69"/>
      </top>
      <bottom style="thin">
        <color rgb="FFCDCFD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1" fillId="0" borderId="2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3" borderId="1" xfId="0" applyNumberFormat="1" applyFont="1" applyFill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3" borderId="1" xfId="0" applyNumberFormat="1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vertical="center" wrapText="1"/>
    </xf>
    <xf numFmtId="49" fontId="1" fillId="0" borderId="7" xfId="0" applyNumberFormat="1" applyFont="1" applyBorder="1" applyAlignment="1">
      <alignment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  <xf numFmtId="49" fontId="10" fillId="3" borderId="2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vertical="center" wrapText="1"/>
    </xf>
    <xf numFmtId="49" fontId="1" fillId="3" borderId="7" xfId="0" applyNumberFormat="1" applyFont="1" applyFill="1" applyBorder="1" applyAlignment="1">
      <alignment vertical="center" wrapText="1"/>
    </xf>
    <xf numFmtId="49" fontId="10" fillId="3" borderId="7" xfId="0" applyNumberFormat="1" applyFont="1" applyFill="1" applyBorder="1" applyAlignment="1">
      <alignment horizontal="center" vertical="center" wrapText="1"/>
    </xf>
    <xf numFmtId="49" fontId="11" fillId="3" borderId="7" xfId="0" applyNumberFormat="1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vertical="center" wrapText="1"/>
    </xf>
    <xf numFmtId="0" fontId="1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6" fillId="4" borderId="6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color rgb="FF966400"/>
      </font>
      <fill>
        <patternFill>
          <bgColor rgb="FFFFF3CD"/>
        </patternFill>
      </fill>
    </dxf>
    <dxf>
      <font>
        <color rgb="FF1E7846"/>
      </font>
      <fill>
        <patternFill>
          <bgColor rgb="FFDCF2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31750</xdr:rowOff>
    </xdr:from>
    <xdr:to>
      <xdr:col>2</xdr:col>
      <xdr:colOff>565150</xdr:colOff>
      <xdr:row>6</xdr:row>
      <xdr:rowOff>19050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CF5BE2-2395-A391-AAA1-394E0BD4995C}"/>
            </a:ext>
          </a:extLst>
        </xdr:cNvPr>
        <xdr:cNvSpPr/>
      </xdr:nvSpPr>
      <xdr:spPr>
        <a:xfrm>
          <a:off x="254000" y="850900"/>
          <a:ext cx="2540000" cy="330200"/>
        </a:xfrm>
        <a:prstGeom prst="rect">
          <a:avLst/>
        </a:prstGeom>
        <a:solidFill>
          <a:srgbClr val="5A5C69"/>
        </a:solidFill>
        <a:ln>
          <a:solidFill>
            <a:srgbClr val="5A5C6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127000" rtlCol="0" anchor="ctr"/>
        <a:lstStyle/>
        <a:p>
          <a:pPr algn="l"/>
          <a:r>
            <a:rPr lang="en-US" altLang="ko-KR" sz="1100" b="1">
              <a:solidFill>
                <a:srgbClr val="FFFFF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users</a:t>
          </a:r>
          <a:endParaRPr lang="ko-KR" altLang="en-US" sz="1100" b="1">
            <a:solidFill>
              <a:srgbClr val="FFFFFF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254000</xdr:colOff>
      <xdr:row>6</xdr:row>
      <xdr:rowOff>19050</xdr:rowOff>
    </xdr:from>
    <xdr:to>
      <xdr:col>2</xdr:col>
      <xdr:colOff>565150</xdr:colOff>
      <xdr:row>14</xdr:row>
      <xdr:rowOff>82550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3AC1830-9FAB-2798-364A-A1BC62BB7408}"/>
            </a:ext>
          </a:extLst>
        </xdr:cNvPr>
        <xdr:cNvSpPr/>
      </xdr:nvSpPr>
      <xdr:spPr>
        <a:xfrm>
          <a:off x="254000" y="1181100"/>
          <a:ext cx="2540000" cy="1435100"/>
        </a:xfrm>
        <a:prstGeom prst="rect">
          <a:avLst/>
        </a:prstGeom>
        <a:solidFill>
          <a:srgbClr val="FFFFFF"/>
        </a:solidFill>
        <a:ln>
          <a:solidFill>
            <a:srgbClr val="CDCFD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tIns="88900" rIns="127000" rtlCol="0" anchor="t"/>
        <a:lstStyle/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id	</a:t>
          </a:r>
          <a:r>
            <a:rPr lang="en-US" altLang="ko-KR" sz="8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PK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email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UNIQUE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password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BCrypt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name	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student_no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nullable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role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INSTRUCTOR/STUDENT</a:t>
          </a:r>
          <a:endParaRPr lang="ko-KR" altLang="en-US" sz="800" b="0">
            <a:solidFill>
              <a:srgbClr val="6E7078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1327150</xdr:colOff>
      <xdr:row>4</xdr:row>
      <xdr:rowOff>31750</xdr:rowOff>
    </xdr:from>
    <xdr:to>
      <xdr:col>4</xdr:col>
      <xdr:colOff>1485900</xdr:colOff>
      <xdr:row>6</xdr:row>
      <xdr:rowOff>19050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22E4143-779D-B183-75DD-2675D4D7FCF4}"/>
            </a:ext>
          </a:extLst>
        </xdr:cNvPr>
        <xdr:cNvSpPr/>
      </xdr:nvSpPr>
      <xdr:spPr>
        <a:xfrm>
          <a:off x="3556000" y="850900"/>
          <a:ext cx="2540000" cy="330200"/>
        </a:xfrm>
        <a:prstGeom prst="rect">
          <a:avLst/>
        </a:prstGeom>
        <a:solidFill>
          <a:srgbClr val="5A5C69"/>
        </a:solidFill>
        <a:ln>
          <a:solidFill>
            <a:srgbClr val="5A5C6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127000" rtlCol="0" anchor="ctr"/>
        <a:lstStyle/>
        <a:p>
          <a:pPr algn="l"/>
          <a:r>
            <a:rPr lang="en-US" altLang="ko-KR" sz="1100" b="1">
              <a:solidFill>
                <a:srgbClr val="FFFFF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course</a:t>
          </a:r>
          <a:endParaRPr lang="ko-KR" altLang="en-US" sz="1100" b="1">
            <a:solidFill>
              <a:srgbClr val="FFFFFF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1327150</xdr:colOff>
      <xdr:row>6</xdr:row>
      <xdr:rowOff>19050</xdr:rowOff>
    </xdr:from>
    <xdr:to>
      <xdr:col>4</xdr:col>
      <xdr:colOff>1485900</xdr:colOff>
      <xdr:row>13</xdr:row>
      <xdr:rowOff>44450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0B696A0-F53E-72B3-DFD5-365F682C78C7}"/>
            </a:ext>
          </a:extLst>
        </xdr:cNvPr>
        <xdr:cNvSpPr/>
      </xdr:nvSpPr>
      <xdr:spPr>
        <a:xfrm>
          <a:off x="3556000" y="1181100"/>
          <a:ext cx="2540000" cy="1225550"/>
        </a:xfrm>
        <a:prstGeom prst="rect">
          <a:avLst/>
        </a:prstGeom>
        <a:solidFill>
          <a:srgbClr val="FFFFFF"/>
        </a:solidFill>
        <a:ln>
          <a:solidFill>
            <a:srgbClr val="CDCFD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tIns="88900" rIns="127000" rtlCol="0" anchor="t"/>
        <a:lstStyle/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id	</a:t>
          </a:r>
          <a:r>
            <a:rPr lang="en-US" altLang="ko-KR" sz="8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PK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instructor_id	</a:t>
          </a:r>
          <a:r>
            <a:rPr lang="en-US" altLang="ko-KR" sz="8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FK→users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name	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join_code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UNIQUE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created_at	</a:t>
          </a:r>
          <a:endParaRPr lang="ko-KR" altLang="en-US" sz="900" b="0">
            <a:solidFill>
              <a:srgbClr val="32343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2247900</xdr:colOff>
      <xdr:row>4</xdr:row>
      <xdr:rowOff>31750</xdr:rowOff>
    </xdr:from>
    <xdr:to>
      <xdr:col>5</xdr:col>
      <xdr:colOff>1997075</xdr:colOff>
      <xdr:row>6</xdr:row>
      <xdr:rowOff>19050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16AE587-7C7C-A056-A906-CEAAFE984F92}"/>
            </a:ext>
          </a:extLst>
        </xdr:cNvPr>
        <xdr:cNvSpPr/>
      </xdr:nvSpPr>
      <xdr:spPr>
        <a:xfrm>
          <a:off x="6858000" y="850900"/>
          <a:ext cx="2540000" cy="330200"/>
        </a:xfrm>
        <a:prstGeom prst="rect">
          <a:avLst/>
        </a:prstGeom>
        <a:solidFill>
          <a:srgbClr val="5A5C69"/>
        </a:solidFill>
        <a:ln>
          <a:solidFill>
            <a:srgbClr val="5A5C6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127000" rtlCol="0" anchor="ctr"/>
        <a:lstStyle/>
        <a:p>
          <a:pPr algn="l"/>
          <a:r>
            <a:rPr lang="en-US" altLang="ko-KR" sz="1100" b="1">
              <a:solidFill>
                <a:srgbClr val="FFFFF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assignment</a:t>
          </a:r>
          <a:endParaRPr lang="ko-KR" altLang="en-US" sz="1100" b="1">
            <a:solidFill>
              <a:srgbClr val="FFFFFF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2247900</xdr:colOff>
      <xdr:row>6</xdr:row>
      <xdr:rowOff>19050</xdr:rowOff>
    </xdr:from>
    <xdr:to>
      <xdr:col>5</xdr:col>
      <xdr:colOff>1997075</xdr:colOff>
      <xdr:row>18</xdr:row>
      <xdr:rowOff>25400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C559366-C2CC-5DFE-DCCE-FBFCCCA2A86B}"/>
            </a:ext>
          </a:extLst>
        </xdr:cNvPr>
        <xdr:cNvSpPr/>
      </xdr:nvSpPr>
      <xdr:spPr>
        <a:xfrm>
          <a:off x="6858000" y="1181100"/>
          <a:ext cx="2540000" cy="2063750"/>
        </a:xfrm>
        <a:prstGeom prst="rect">
          <a:avLst/>
        </a:prstGeom>
        <a:solidFill>
          <a:srgbClr val="FFFFFF"/>
        </a:solidFill>
        <a:ln>
          <a:solidFill>
            <a:srgbClr val="CDCFD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tIns="88900" rIns="127000" rtlCol="0" anchor="t"/>
        <a:lstStyle/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id	</a:t>
          </a:r>
          <a:r>
            <a:rPr lang="en-US" altLang="ko-KR" sz="8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PK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course_id	</a:t>
          </a:r>
          <a:r>
            <a:rPr lang="en-US" altLang="ko-KR" sz="8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FK→course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title	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content	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start_at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DATETIME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end_at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DATETIME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max_score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INT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file_path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nullable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created_at	</a:t>
          </a:r>
          <a:endParaRPr lang="ko-KR" altLang="en-US" sz="900" b="0">
            <a:solidFill>
              <a:srgbClr val="32343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2759075</xdr:colOff>
      <xdr:row>4</xdr:row>
      <xdr:rowOff>31750</xdr:rowOff>
    </xdr:from>
    <xdr:to>
      <xdr:col>7</xdr:col>
      <xdr:colOff>298450</xdr:colOff>
      <xdr:row>6</xdr:row>
      <xdr:rowOff>19050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58D2EC8-52DF-7740-DDD8-F1F543C5C718}"/>
            </a:ext>
          </a:extLst>
        </xdr:cNvPr>
        <xdr:cNvSpPr/>
      </xdr:nvSpPr>
      <xdr:spPr>
        <a:xfrm>
          <a:off x="10160000" y="850900"/>
          <a:ext cx="2540000" cy="330200"/>
        </a:xfrm>
        <a:prstGeom prst="rect">
          <a:avLst/>
        </a:prstGeom>
        <a:solidFill>
          <a:srgbClr val="5A5C69"/>
        </a:solidFill>
        <a:ln>
          <a:solidFill>
            <a:srgbClr val="5A5C6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127000" rtlCol="0" anchor="ctr"/>
        <a:lstStyle/>
        <a:p>
          <a:pPr algn="l"/>
          <a:r>
            <a:rPr lang="en-US" altLang="ko-KR" sz="1100" b="1">
              <a:solidFill>
                <a:srgbClr val="FFFFF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submission</a:t>
          </a:r>
          <a:endParaRPr lang="ko-KR" altLang="en-US" sz="1100" b="1">
            <a:solidFill>
              <a:srgbClr val="FFFFFF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2759075</xdr:colOff>
      <xdr:row>6</xdr:row>
      <xdr:rowOff>19050</xdr:rowOff>
    </xdr:from>
    <xdr:to>
      <xdr:col>7</xdr:col>
      <xdr:colOff>298450</xdr:colOff>
      <xdr:row>19</xdr:row>
      <xdr:rowOff>63500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58360016-8E3B-A914-467D-AA0AB5D501FD}"/>
            </a:ext>
          </a:extLst>
        </xdr:cNvPr>
        <xdr:cNvSpPr/>
      </xdr:nvSpPr>
      <xdr:spPr>
        <a:xfrm>
          <a:off x="10160000" y="1181100"/>
          <a:ext cx="2540000" cy="2273300"/>
        </a:xfrm>
        <a:prstGeom prst="rect">
          <a:avLst/>
        </a:prstGeom>
        <a:solidFill>
          <a:srgbClr val="FFFFFF"/>
        </a:solidFill>
        <a:ln>
          <a:solidFill>
            <a:srgbClr val="CDCFD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tIns="88900" rIns="127000" rtlCol="0" anchor="t"/>
        <a:lstStyle/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id	</a:t>
          </a:r>
          <a:r>
            <a:rPr lang="en-US" altLang="ko-KR" sz="8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PK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assignment_id	</a:t>
          </a:r>
          <a:r>
            <a:rPr lang="en-US" altLang="ko-KR" sz="8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FK→assignment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student_id	</a:t>
          </a:r>
          <a:r>
            <a:rPr lang="en-US" altLang="ko-KR" sz="8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FK→users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content	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file_path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nullable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submitted_at	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status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SUBMITTED/GRADED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score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nullable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feedback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nullable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graded_at	</a:t>
          </a:r>
          <a:r>
            <a:rPr lang="en-US" altLang="ko-KR" sz="800" b="0">
              <a:solidFill>
                <a:srgbClr val="6E7078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nullable</a:t>
          </a:r>
          <a:endParaRPr lang="ko-KR" altLang="en-US" sz="800" b="0">
            <a:solidFill>
              <a:srgbClr val="6E7078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1327150</xdr:colOff>
      <xdr:row>18</xdr:row>
      <xdr:rowOff>76200</xdr:rowOff>
    </xdr:from>
    <xdr:to>
      <xdr:col>4</xdr:col>
      <xdr:colOff>1485900</xdr:colOff>
      <xdr:row>20</xdr:row>
      <xdr:rowOff>63500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2AB20B0-4F5E-FEB5-6BA5-6EDEEE52D9DF}"/>
            </a:ext>
          </a:extLst>
        </xdr:cNvPr>
        <xdr:cNvSpPr/>
      </xdr:nvSpPr>
      <xdr:spPr>
        <a:xfrm>
          <a:off x="3556000" y="3295650"/>
          <a:ext cx="2540000" cy="330200"/>
        </a:xfrm>
        <a:prstGeom prst="rect">
          <a:avLst/>
        </a:prstGeom>
        <a:solidFill>
          <a:srgbClr val="5A5C69"/>
        </a:solidFill>
        <a:ln>
          <a:solidFill>
            <a:srgbClr val="5A5C6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127000" rtlCol="0" anchor="ctr"/>
        <a:lstStyle/>
        <a:p>
          <a:pPr algn="l"/>
          <a:r>
            <a:rPr lang="en-US" altLang="ko-KR" sz="1100" b="1">
              <a:solidFill>
                <a:srgbClr val="FFFFF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enrollment</a:t>
          </a:r>
          <a:endParaRPr lang="ko-KR" altLang="en-US" sz="1100" b="1">
            <a:solidFill>
              <a:srgbClr val="FFFFFF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1327150</xdr:colOff>
      <xdr:row>20</xdr:row>
      <xdr:rowOff>63500</xdr:rowOff>
    </xdr:from>
    <xdr:to>
      <xdr:col>4</xdr:col>
      <xdr:colOff>1485900</xdr:colOff>
      <xdr:row>26</xdr:row>
      <xdr:rowOff>50800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6D8D9D4-80F6-4BB7-98A9-5564F60B8742}"/>
            </a:ext>
          </a:extLst>
        </xdr:cNvPr>
        <xdr:cNvSpPr/>
      </xdr:nvSpPr>
      <xdr:spPr>
        <a:xfrm>
          <a:off x="3556000" y="3625850"/>
          <a:ext cx="2540000" cy="1016000"/>
        </a:xfrm>
        <a:prstGeom prst="rect">
          <a:avLst/>
        </a:prstGeom>
        <a:solidFill>
          <a:srgbClr val="FFFFFF"/>
        </a:solidFill>
        <a:ln>
          <a:solidFill>
            <a:srgbClr val="CDCFD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tIns="88900" rIns="127000" rtlCol="0" anchor="t"/>
        <a:lstStyle/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id	</a:t>
          </a:r>
          <a:r>
            <a:rPr lang="en-US" altLang="ko-KR" sz="8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PK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course_id	</a:t>
          </a:r>
          <a:r>
            <a:rPr lang="en-US" altLang="ko-KR" sz="8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FK→course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student_id	</a:t>
          </a:r>
          <a:r>
            <a:rPr lang="en-US" altLang="ko-KR" sz="8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FK→users</a:t>
          </a:r>
        </a:p>
        <a:p>
          <a:pPr marL="0" indent="0" algn="l">
            <a:tabLst>
              <a:tab pos="2260600" algn="r"/>
            </a:tabLst>
          </a:pPr>
          <a:r>
            <a:rPr lang="en-US" altLang="ko-KR" sz="900" b="0">
              <a:solidFill>
                <a:srgbClr val="32343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joined_at	</a:t>
          </a:r>
          <a:endParaRPr lang="ko-KR" altLang="en-US" sz="900" b="0">
            <a:solidFill>
              <a:srgbClr val="32343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565150</xdr:colOff>
      <xdr:row>5</xdr:row>
      <xdr:rowOff>25400</xdr:rowOff>
    </xdr:from>
    <xdr:to>
      <xdr:col>2</xdr:col>
      <xdr:colOff>1327150</xdr:colOff>
      <xdr:row>5</xdr:row>
      <xdr:rowOff>25400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BDD89F21-24DC-ECC2-6774-1EC99441CA49}"/>
            </a:ext>
          </a:extLst>
        </xdr:cNvPr>
        <xdr:cNvCxnSpPr/>
      </xdr:nvCxnSpPr>
      <xdr:spPr>
        <a:xfrm>
          <a:off x="2794000" y="1016000"/>
          <a:ext cx="762000" cy="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3</xdr:row>
      <xdr:rowOff>152400</xdr:rowOff>
    </xdr:from>
    <xdr:to>
      <xdr:col>2</xdr:col>
      <xdr:colOff>1009650</xdr:colOff>
      <xdr:row>5</xdr:row>
      <xdr:rowOff>12700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557BEBB-C1E3-2E5B-1A62-A88FA8D192B5}"/>
            </a:ext>
          </a:extLst>
        </xdr:cNvPr>
        <xdr:cNvSpPr txBox="1"/>
      </xdr:nvSpPr>
      <xdr:spPr>
        <a:xfrm>
          <a:off x="2857500" y="8001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1149350</xdr:colOff>
      <xdr:row>3</xdr:row>
      <xdr:rowOff>152400</xdr:rowOff>
    </xdr:from>
    <xdr:to>
      <xdr:col>3</xdr:col>
      <xdr:colOff>111125</xdr:colOff>
      <xdr:row>5</xdr:row>
      <xdr:rowOff>12700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9EBB245-7F22-46E6-9C41-DFA51AC9EA18}"/>
            </a:ext>
          </a:extLst>
        </xdr:cNvPr>
        <xdr:cNvSpPr txBox="1"/>
      </xdr:nvSpPr>
      <xdr:spPr>
        <a:xfrm>
          <a:off x="3378200" y="8001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768350</xdr:colOff>
      <xdr:row>5</xdr:row>
      <xdr:rowOff>63500</xdr:rowOff>
    </xdr:from>
    <xdr:to>
      <xdr:col>2</xdr:col>
      <xdr:colOff>1276350</xdr:colOff>
      <xdr:row>6</xdr:row>
      <xdr:rowOff>95250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3AE09C1-A264-BF82-E7F9-3EBB9EC5DB6A}"/>
            </a:ext>
          </a:extLst>
        </xdr:cNvPr>
        <xdr:cNvSpPr txBox="1"/>
      </xdr:nvSpPr>
      <xdr:spPr>
        <a:xfrm>
          <a:off x="2997200" y="1054100"/>
          <a:ext cx="508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ko-KR" altLang="en-US" sz="900" b="1">
              <a:solidFill>
                <a:srgbClr val="787A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강사</a:t>
          </a:r>
        </a:p>
      </xdr:txBody>
    </xdr:sp>
    <xdr:clientData/>
  </xdr:twoCellAnchor>
  <xdr:twoCellAnchor>
    <xdr:from>
      <xdr:col>4</xdr:col>
      <xdr:colOff>1485900</xdr:colOff>
      <xdr:row>5</xdr:row>
      <xdr:rowOff>25400</xdr:rowOff>
    </xdr:from>
    <xdr:to>
      <xdr:col>4</xdr:col>
      <xdr:colOff>2247900</xdr:colOff>
      <xdr:row>5</xdr:row>
      <xdr:rowOff>25400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6A1443AF-B1CD-2BCD-C552-710CFBE0A883}"/>
            </a:ext>
          </a:extLst>
        </xdr:cNvPr>
        <xdr:cNvCxnSpPr/>
      </xdr:nvCxnSpPr>
      <xdr:spPr>
        <a:xfrm>
          <a:off x="6096000" y="1016000"/>
          <a:ext cx="762000" cy="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1549400</xdr:colOff>
      <xdr:row>3</xdr:row>
      <xdr:rowOff>152400</xdr:rowOff>
    </xdr:from>
    <xdr:to>
      <xdr:col>4</xdr:col>
      <xdr:colOff>1930400</xdr:colOff>
      <xdr:row>5</xdr:row>
      <xdr:rowOff>12700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0F80D40-7719-389F-86F1-854FA6830250}"/>
            </a:ext>
          </a:extLst>
        </xdr:cNvPr>
        <xdr:cNvSpPr txBox="1"/>
      </xdr:nvSpPr>
      <xdr:spPr>
        <a:xfrm>
          <a:off x="6159500" y="8001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2070100</xdr:colOff>
      <xdr:row>3</xdr:row>
      <xdr:rowOff>152400</xdr:rowOff>
    </xdr:from>
    <xdr:to>
      <xdr:col>4</xdr:col>
      <xdr:colOff>2451100</xdr:colOff>
      <xdr:row>5</xdr:row>
      <xdr:rowOff>12700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87DAEAD-3EDA-1474-4874-B044A961507F}"/>
            </a:ext>
          </a:extLst>
        </xdr:cNvPr>
        <xdr:cNvSpPr txBox="1"/>
      </xdr:nvSpPr>
      <xdr:spPr>
        <a:xfrm>
          <a:off x="6680200" y="8001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1997075</xdr:colOff>
      <xdr:row>5</xdr:row>
      <xdr:rowOff>25400</xdr:rowOff>
    </xdr:from>
    <xdr:to>
      <xdr:col>5</xdr:col>
      <xdr:colOff>2759075</xdr:colOff>
      <xdr:row>5</xdr:row>
      <xdr:rowOff>25400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FDEB013-AE5A-964A-69B5-157DFE28CC32}"/>
            </a:ext>
          </a:extLst>
        </xdr:cNvPr>
        <xdr:cNvCxnSpPr/>
      </xdr:nvCxnSpPr>
      <xdr:spPr>
        <a:xfrm>
          <a:off x="9398000" y="1016000"/>
          <a:ext cx="762000" cy="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2060575</xdr:colOff>
      <xdr:row>3</xdr:row>
      <xdr:rowOff>152400</xdr:rowOff>
    </xdr:from>
    <xdr:to>
      <xdr:col>5</xdr:col>
      <xdr:colOff>2441575</xdr:colOff>
      <xdr:row>5</xdr:row>
      <xdr:rowOff>12700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07E11F6-DFC1-4C82-E20D-7943342F1465}"/>
            </a:ext>
          </a:extLst>
        </xdr:cNvPr>
        <xdr:cNvSpPr txBox="1"/>
      </xdr:nvSpPr>
      <xdr:spPr>
        <a:xfrm>
          <a:off x="9461500" y="8001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2581275</xdr:colOff>
      <xdr:row>3</xdr:row>
      <xdr:rowOff>152400</xdr:rowOff>
    </xdr:from>
    <xdr:to>
      <xdr:col>5</xdr:col>
      <xdr:colOff>2962275</xdr:colOff>
      <xdr:row>5</xdr:row>
      <xdr:rowOff>12700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101849-CD72-B1E0-0484-9ABBADCEC253}"/>
            </a:ext>
          </a:extLst>
        </xdr:cNvPr>
        <xdr:cNvSpPr txBox="1"/>
      </xdr:nvSpPr>
      <xdr:spPr>
        <a:xfrm>
          <a:off x="9982200" y="8001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215900</xdr:colOff>
      <xdr:row>13</xdr:row>
      <xdr:rowOff>44450</xdr:rowOff>
    </xdr:from>
    <xdr:to>
      <xdr:col>4</xdr:col>
      <xdr:colOff>215900</xdr:colOff>
      <xdr:row>18</xdr:row>
      <xdr:rowOff>76200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CC7A01DE-6FDF-6F29-687E-15489FA73B8A}"/>
            </a:ext>
          </a:extLst>
        </xdr:cNvPr>
        <xdr:cNvCxnSpPr/>
      </xdr:nvCxnSpPr>
      <xdr:spPr>
        <a:xfrm>
          <a:off x="4826000" y="2406650"/>
          <a:ext cx="0" cy="88900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292100</xdr:colOff>
      <xdr:row>13</xdr:row>
      <xdr:rowOff>82550</xdr:rowOff>
    </xdr:from>
    <xdr:to>
      <xdr:col>4</xdr:col>
      <xdr:colOff>673100</xdr:colOff>
      <xdr:row>14</xdr:row>
      <xdr:rowOff>114300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A21CF5C-07B2-2442-72AE-5E0E6A6B05F9}"/>
            </a:ext>
          </a:extLst>
        </xdr:cNvPr>
        <xdr:cNvSpPr txBox="1"/>
      </xdr:nvSpPr>
      <xdr:spPr>
        <a:xfrm>
          <a:off x="4902200" y="244475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292100</xdr:colOff>
      <xdr:row>17</xdr:row>
      <xdr:rowOff>19050</xdr:rowOff>
    </xdr:from>
    <xdr:to>
      <xdr:col>4</xdr:col>
      <xdr:colOff>673100</xdr:colOff>
      <xdr:row>18</xdr:row>
      <xdr:rowOff>50800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4ACABEE-3981-A028-0E8A-B70281367A9D}"/>
            </a:ext>
          </a:extLst>
        </xdr:cNvPr>
        <xdr:cNvSpPr txBox="1"/>
      </xdr:nvSpPr>
      <xdr:spPr>
        <a:xfrm>
          <a:off x="4902200" y="306705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1222375</xdr:colOff>
      <xdr:row>14</xdr:row>
      <xdr:rowOff>82550</xdr:rowOff>
    </xdr:from>
    <xdr:to>
      <xdr:col>1</xdr:col>
      <xdr:colOff>1222375</xdr:colOff>
      <xdr:row>19</xdr:row>
      <xdr:rowOff>69850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4200AEC2-BC6C-C2C2-91CF-3671FD150A7B}"/>
            </a:ext>
          </a:extLst>
        </xdr:cNvPr>
        <xdr:cNvCxnSpPr/>
      </xdr:nvCxnSpPr>
      <xdr:spPr>
        <a:xfrm>
          <a:off x="2032000" y="2616200"/>
          <a:ext cx="0" cy="84455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1222375</xdr:colOff>
      <xdr:row>19</xdr:row>
      <xdr:rowOff>69850</xdr:rowOff>
    </xdr:from>
    <xdr:to>
      <xdr:col>2</xdr:col>
      <xdr:colOff>1327150</xdr:colOff>
      <xdr:row>19</xdr:row>
      <xdr:rowOff>69850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BD2A741A-9326-83F9-C0CE-C5FA3120A16F}"/>
            </a:ext>
          </a:extLst>
        </xdr:cNvPr>
        <xdr:cNvCxnSpPr/>
      </xdr:nvCxnSpPr>
      <xdr:spPr>
        <a:xfrm>
          <a:off x="2032000" y="3460750"/>
          <a:ext cx="1524000" cy="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1298575</xdr:colOff>
      <xdr:row>14</xdr:row>
      <xdr:rowOff>120650</xdr:rowOff>
    </xdr:from>
    <xdr:to>
      <xdr:col>2</xdr:col>
      <xdr:colOff>260350</xdr:colOff>
      <xdr:row>15</xdr:row>
      <xdr:rowOff>152400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E34E461-A61E-8599-FCF0-909D94BEE536}"/>
            </a:ext>
          </a:extLst>
        </xdr:cNvPr>
        <xdr:cNvSpPr txBox="1"/>
      </xdr:nvSpPr>
      <xdr:spPr>
        <a:xfrm>
          <a:off x="2108200" y="26543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1149350</xdr:colOff>
      <xdr:row>18</xdr:row>
      <xdr:rowOff>12700</xdr:rowOff>
    </xdr:from>
    <xdr:to>
      <xdr:col>3</xdr:col>
      <xdr:colOff>111125</xdr:colOff>
      <xdr:row>19</xdr:row>
      <xdr:rowOff>44450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47BE107-31AD-2C87-85CB-C891A3C3BB64}"/>
            </a:ext>
          </a:extLst>
        </xdr:cNvPr>
        <xdr:cNvSpPr txBox="1"/>
      </xdr:nvSpPr>
      <xdr:spPr>
        <a:xfrm>
          <a:off x="3378200" y="323215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1374775</xdr:colOff>
      <xdr:row>19</xdr:row>
      <xdr:rowOff>107950</xdr:rowOff>
    </xdr:from>
    <xdr:to>
      <xdr:col>2</xdr:col>
      <xdr:colOff>844550</xdr:colOff>
      <xdr:row>20</xdr:row>
      <xdr:rowOff>139700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CE021C5-BB28-B84C-40EB-E95048866642}"/>
            </a:ext>
          </a:extLst>
        </xdr:cNvPr>
        <xdr:cNvSpPr txBox="1"/>
      </xdr:nvSpPr>
      <xdr:spPr>
        <a:xfrm>
          <a:off x="2184400" y="3498850"/>
          <a:ext cx="889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ko-KR" altLang="en-US" sz="900" b="1">
              <a:solidFill>
                <a:srgbClr val="787A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학생 </a:t>
          </a:r>
          <a:r>
            <a:rPr lang="en-US" altLang="ko-KR" sz="900" b="1">
              <a:solidFill>
                <a:srgbClr val="787A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(N:M)</a:t>
          </a:r>
          <a:endParaRPr lang="ko-KR" altLang="en-US" sz="900" b="1">
            <a:solidFill>
              <a:srgbClr val="787A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206375</xdr:colOff>
      <xdr:row>14</xdr:row>
      <xdr:rowOff>82550</xdr:rowOff>
    </xdr:from>
    <xdr:to>
      <xdr:col>1</xdr:col>
      <xdr:colOff>206375</xdr:colOff>
      <xdr:row>28</xdr:row>
      <xdr:rowOff>139700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ABCA9014-1C9D-9AE8-665F-EE458C3445FD}"/>
            </a:ext>
          </a:extLst>
        </xdr:cNvPr>
        <xdr:cNvCxnSpPr/>
      </xdr:nvCxnSpPr>
      <xdr:spPr>
        <a:xfrm>
          <a:off x="1016000" y="2616200"/>
          <a:ext cx="0" cy="245745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206375</xdr:colOff>
      <xdr:row>28</xdr:row>
      <xdr:rowOff>139700</xdr:rowOff>
    </xdr:from>
    <xdr:to>
      <xdr:col>5</xdr:col>
      <xdr:colOff>4029075</xdr:colOff>
      <xdr:row>28</xdr:row>
      <xdr:rowOff>139700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D74158BD-976A-3BA6-FFDA-D8CDD1F5ABB5}"/>
            </a:ext>
          </a:extLst>
        </xdr:cNvPr>
        <xdr:cNvCxnSpPr/>
      </xdr:nvCxnSpPr>
      <xdr:spPr>
        <a:xfrm>
          <a:off x="1016000" y="5073650"/>
          <a:ext cx="10414000" cy="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4029075</xdr:colOff>
      <xdr:row>19</xdr:row>
      <xdr:rowOff>63500</xdr:rowOff>
    </xdr:from>
    <xdr:to>
      <xdr:col>5</xdr:col>
      <xdr:colOff>4029075</xdr:colOff>
      <xdr:row>28</xdr:row>
      <xdr:rowOff>139700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68EAC298-F63D-FCBB-FDF9-0AC6E8382B08}"/>
            </a:ext>
          </a:extLst>
        </xdr:cNvPr>
        <xdr:cNvCxnSpPr/>
      </xdr:nvCxnSpPr>
      <xdr:spPr>
        <a:xfrm flipV="1">
          <a:off x="11430000" y="3454400"/>
          <a:ext cx="0" cy="1619250"/>
        </a:xfrm>
        <a:prstGeom prst="line">
          <a:avLst/>
        </a:prstGeom>
        <a:ln w="22225">
          <a:solidFill>
            <a:srgbClr val="34A88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282575</xdr:colOff>
      <xdr:row>14</xdr:row>
      <xdr:rowOff>120650</xdr:rowOff>
    </xdr:from>
    <xdr:to>
      <xdr:col>1</xdr:col>
      <xdr:colOff>663575</xdr:colOff>
      <xdr:row>15</xdr:row>
      <xdr:rowOff>152400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6A6CD0F-368E-E3B4-BDA5-1A59C87C3FB6}"/>
            </a:ext>
          </a:extLst>
        </xdr:cNvPr>
        <xdr:cNvSpPr txBox="1"/>
      </xdr:nvSpPr>
      <xdr:spPr>
        <a:xfrm>
          <a:off x="1092200" y="26543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4105275</xdr:colOff>
      <xdr:row>19</xdr:row>
      <xdr:rowOff>101600</xdr:rowOff>
    </xdr:from>
    <xdr:to>
      <xdr:col>6</xdr:col>
      <xdr:colOff>171450</xdr:colOff>
      <xdr:row>20</xdr:row>
      <xdr:rowOff>133350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1886FE-5738-53E1-9391-D39129981882}"/>
            </a:ext>
          </a:extLst>
        </xdr:cNvPr>
        <xdr:cNvSpPr txBox="1"/>
      </xdr:nvSpPr>
      <xdr:spPr>
        <a:xfrm>
          <a:off x="11506200" y="3492500"/>
          <a:ext cx="381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34A88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</a:t>
          </a:r>
          <a:endParaRPr lang="ko-KR" altLang="en-US" sz="900" b="1">
            <a:solidFill>
              <a:srgbClr val="34A88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596900</xdr:colOff>
      <xdr:row>29</xdr:row>
      <xdr:rowOff>19050</xdr:rowOff>
    </xdr:from>
    <xdr:to>
      <xdr:col>4</xdr:col>
      <xdr:colOff>1993900</xdr:colOff>
      <xdr:row>30</xdr:row>
      <xdr:rowOff>50800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0EDDA57-9701-4663-5509-CE86E326A58B}"/>
            </a:ext>
          </a:extLst>
        </xdr:cNvPr>
        <xdr:cNvSpPr txBox="1"/>
      </xdr:nvSpPr>
      <xdr:spPr>
        <a:xfrm>
          <a:off x="5207000" y="5124450"/>
          <a:ext cx="1397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ko-KR" altLang="en-US" sz="900" b="1">
              <a:solidFill>
                <a:srgbClr val="787A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학생 </a:t>
          </a:r>
          <a:r>
            <a:rPr lang="en-US" altLang="ko-KR" sz="900" b="1">
              <a:solidFill>
                <a:srgbClr val="787A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 : N </a:t>
          </a:r>
          <a:r>
            <a:rPr lang="ko-KR" altLang="en-US" sz="900" b="1">
              <a:solidFill>
                <a:srgbClr val="787A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제출</a:t>
          </a:r>
        </a:p>
      </xdr:txBody>
    </xdr:sp>
    <xdr:clientData/>
  </xdr:twoCellAnchor>
  <xdr:twoCellAnchor>
    <xdr:from>
      <xdr:col>0</xdr:col>
      <xdr:colOff>254000</xdr:colOff>
      <xdr:row>31</xdr:row>
      <xdr:rowOff>57150</xdr:rowOff>
    </xdr:from>
    <xdr:to>
      <xdr:col>4</xdr:col>
      <xdr:colOff>977900</xdr:colOff>
      <xdr:row>32</xdr:row>
      <xdr:rowOff>88900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D41682C-C104-ECA4-43EA-E121E916FD4A}"/>
            </a:ext>
          </a:extLst>
        </xdr:cNvPr>
        <xdr:cNvSpPr txBox="1"/>
      </xdr:nvSpPr>
      <xdr:spPr>
        <a:xfrm>
          <a:off x="254000" y="5505450"/>
          <a:ext cx="5334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enrollment : UNIQUE (course_id, student_id) — </a:t>
          </a:r>
          <a:r>
            <a:rPr lang="ko-KR" altLang="en-US" sz="9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중복 수강 불가</a:t>
          </a:r>
        </a:p>
      </xdr:txBody>
    </xdr:sp>
    <xdr:clientData/>
  </xdr:twoCellAnchor>
  <xdr:twoCellAnchor>
    <xdr:from>
      <xdr:col>0</xdr:col>
      <xdr:colOff>254000</xdr:colOff>
      <xdr:row>32</xdr:row>
      <xdr:rowOff>114300</xdr:rowOff>
    </xdr:from>
    <xdr:to>
      <xdr:col>4</xdr:col>
      <xdr:colOff>977900</xdr:colOff>
      <xdr:row>33</xdr:row>
      <xdr:rowOff>146050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3AAD958-A3BB-6D07-975E-F16A299BF008}"/>
            </a:ext>
          </a:extLst>
        </xdr:cNvPr>
        <xdr:cNvSpPr txBox="1"/>
      </xdr:nvSpPr>
      <xdr:spPr>
        <a:xfrm>
          <a:off x="254000" y="5734050"/>
          <a:ext cx="5334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l"/>
          <a:r>
            <a:rPr lang="en-US" altLang="ko-KR" sz="9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submission : UNIQUE (assignment_id, student_id) — </a:t>
          </a:r>
          <a:r>
            <a:rPr lang="ko-KR" altLang="en-US" sz="9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과제당 학생 </a:t>
          </a:r>
          <a:r>
            <a:rPr lang="en-US" altLang="ko-KR" sz="9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r>
            <a:rPr lang="ko-KR" altLang="en-US" sz="900" b="1">
              <a:solidFill>
                <a:srgbClr val="D6545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8503-2710-4946-9DA0-4FDF62C32F0C}">
  <sheetPr>
    <pageSetUpPr fitToPage="1"/>
  </sheetPr>
  <dimension ref="A1:E26"/>
  <sheetViews>
    <sheetView tabSelected="1" workbookViewId="0"/>
  </sheetViews>
  <sheetFormatPr defaultRowHeight="13.5" x14ac:dyDescent="0.3"/>
  <cols>
    <col min="1" max="1" width="18.625" style="1" customWidth="1"/>
    <col min="2" max="4" width="12.625" style="1" customWidth="1"/>
    <col min="5" max="5" width="62.625" style="1" customWidth="1"/>
    <col min="6" max="16384" width="9" style="1"/>
  </cols>
  <sheetData>
    <row r="1" spans="1:5" ht="30" customHeight="1" x14ac:dyDescent="0.3">
      <c r="A1" s="2" t="s">
        <v>309</v>
      </c>
    </row>
    <row r="2" spans="1:5" x14ac:dyDescent="0.3">
      <c r="A2" s="3" t="s">
        <v>310</v>
      </c>
    </row>
    <row r="3" spans="1:5" ht="8.1" customHeight="1" x14ac:dyDescent="0.3"/>
    <row r="4" spans="1:5" ht="21.95" customHeight="1" x14ac:dyDescent="0.3">
      <c r="A4" s="50" t="s">
        <v>311</v>
      </c>
      <c r="B4" s="61" t="s">
        <v>242</v>
      </c>
      <c r="C4" s="61"/>
      <c r="D4" s="61"/>
      <c r="E4" s="61"/>
    </row>
    <row r="5" spans="1:5" ht="21.95" customHeight="1" x14ac:dyDescent="0.3">
      <c r="A5" s="51" t="s">
        <v>312</v>
      </c>
      <c r="B5" s="60" t="s">
        <v>313</v>
      </c>
      <c r="C5" s="60"/>
      <c r="D5" s="60"/>
      <c r="E5" s="60"/>
    </row>
    <row r="6" spans="1:5" ht="21.95" customHeight="1" x14ac:dyDescent="0.3">
      <c r="A6" s="52" t="s">
        <v>314</v>
      </c>
      <c r="B6" s="62" t="s">
        <v>315</v>
      </c>
      <c r="C6" s="62"/>
      <c r="D6" s="62"/>
      <c r="E6" s="62"/>
    </row>
    <row r="7" spans="1:5" ht="21.95" customHeight="1" x14ac:dyDescent="0.3">
      <c r="A7" s="51" t="s">
        <v>143</v>
      </c>
      <c r="B7" s="60" t="s">
        <v>316</v>
      </c>
      <c r="C7" s="60"/>
      <c r="D7" s="60"/>
      <c r="E7" s="60"/>
    </row>
    <row r="8" spans="1:5" ht="21.95" customHeight="1" x14ac:dyDescent="0.3">
      <c r="A8" s="52" t="s">
        <v>317</v>
      </c>
      <c r="B8" s="62" t="s">
        <v>318</v>
      </c>
      <c r="C8" s="62"/>
      <c r="D8" s="62"/>
      <c r="E8" s="62"/>
    </row>
    <row r="9" spans="1:5" ht="21.95" customHeight="1" x14ac:dyDescent="0.3">
      <c r="A9" s="51" t="s">
        <v>319</v>
      </c>
      <c r="B9" s="60" t="s">
        <v>320</v>
      </c>
      <c r="C9" s="60"/>
      <c r="D9" s="60"/>
      <c r="E9" s="60"/>
    </row>
    <row r="10" spans="1:5" ht="21.95" customHeight="1" x14ac:dyDescent="0.3">
      <c r="A10" s="52" t="s">
        <v>321</v>
      </c>
      <c r="B10" s="62" t="s">
        <v>322</v>
      </c>
      <c r="C10" s="62"/>
      <c r="D10" s="62"/>
      <c r="E10" s="62"/>
    </row>
    <row r="11" spans="1:5" ht="21.95" customHeight="1" x14ac:dyDescent="0.3">
      <c r="A11" s="51" t="s">
        <v>145</v>
      </c>
      <c r="B11" s="60" t="s">
        <v>323</v>
      </c>
      <c r="C11" s="60"/>
      <c r="D11" s="60"/>
      <c r="E11" s="60"/>
    </row>
    <row r="12" spans="1:5" ht="21.95" customHeight="1" x14ac:dyDescent="0.3">
      <c r="A12" s="52" t="s">
        <v>324</v>
      </c>
      <c r="B12" s="62" t="s">
        <v>325</v>
      </c>
      <c r="C12" s="62"/>
      <c r="D12" s="62"/>
      <c r="E12" s="62"/>
    </row>
    <row r="13" spans="1:5" ht="21.95" customHeight="1" x14ac:dyDescent="0.3">
      <c r="A13" s="51" t="s">
        <v>326</v>
      </c>
      <c r="B13" s="60" t="s">
        <v>327</v>
      </c>
      <c r="C13" s="60"/>
      <c r="D13" s="60"/>
      <c r="E13" s="60"/>
    </row>
    <row r="14" spans="1:5" ht="21.95" customHeight="1" x14ac:dyDescent="0.3">
      <c r="A14" s="52" t="s">
        <v>328</v>
      </c>
      <c r="B14" s="62" t="s">
        <v>329</v>
      </c>
      <c r="C14" s="62"/>
      <c r="D14" s="62"/>
      <c r="E14" s="62"/>
    </row>
    <row r="16" spans="1:5" ht="17.25" x14ac:dyDescent="0.3">
      <c r="A16" s="49" t="s">
        <v>330</v>
      </c>
    </row>
    <row r="17" spans="1:4" ht="21.95" customHeight="1" x14ac:dyDescent="0.3">
      <c r="A17" s="50" t="s">
        <v>3</v>
      </c>
      <c r="B17" s="50" t="s">
        <v>331</v>
      </c>
      <c r="C17" s="50" t="s">
        <v>19</v>
      </c>
      <c r="D17" s="50" t="s">
        <v>332</v>
      </c>
    </row>
    <row r="18" spans="1:4" ht="21.95" customHeight="1" x14ac:dyDescent="0.3">
      <c r="A18" s="53" t="s">
        <v>12</v>
      </c>
      <c r="B18" s="53">
        <f>COUNTIF(요구사항정의서!$B$5:$B$100,A18)</f>
        <v>4</v>
      </c>
      <c r="C18" s="53">
        <f>COUNTIFS(요구사항정의서!$B$5:$B$100,A18,요구사항정의서!$I$5:$I$100,"완료")</f>
        <v>4</v>
      </c>
      <c r="D18" s="56">
        <f>IF(B18=0,0,C18/B18)</f>
        <v>1</v>
      </c>
    </row>
    <row r="19" spans="1:4" ht="21.95" customHeight="1" x14ac:dyDescent="0.3">
      <c r="A19" s="54" t="s">
        <v>34</v>
      </c>
      <c r="B19" s="54">
        <f>COUNTIF(요구사항정의서!$B$5:$B$100,A19)</f>
        <v>6</v>
      </c>
      <c r="C19" s="54">
        <f>COUNTIFS(요구사항정의서!$B$5:$B$100,A19,요구사항정의서!$I$5:$I$100,"완료")</f>
        <v>6</v>
      </c>
      <c r="D19" s="57">
        <f>IF(B19=0,0,C19/B19)</f>
        <v>1</v>
      </c>
    </row>
    <row r="20" spans="1:4" ht="21.95" customHeight="1" x14ac:dyDescent="0.3">
      <c r="A20" s="53" t="s">
        <v>71</v>
      </c>
      <c r="B20" s="53">
        <f>COUNTIF(요구사항정의서!$B$5:$B$100,A20)</f>
        <v>5</v>
      </c>
      <c r="C20" s="53">
        <f>COUNTIFS(요구사항정의서!$B$5:$B$100,A20,요구사항정의서!$I$5:$I$100,"완료")</f>
        <v>5</v>
      </c>
      <c r="D20" s="56">
        <f>IF(B20=0,0,C20/B20)</f>
        <v>1</v>
      </c>
    </row>
    <row r="21" spans="1:4" ht="21.95" customHeight="1" x14ac:dyDescent="0.3">
      <c r="A21" s="55" t="s">
        <v>333</v>
      </c>
      <c r="B21" s="55">
        <f>SUM(B18:B20)</f>
        <v>15</v>
      </c>
      <c r="C21" s="55">
        <f>SUM(C18:C20)</f>
        <v>15</v>
      </c>
      <c r="D21" s="58">
        <f>IF(B21=0,0,C21/B21)</f>
        <v>1</v>
      </c>
    </row>
    <row r="23" spans="1:4" ht="17.25" x14ac:dyDescent="0.3">
      <c r="A23" s="49" t="s">
        <v>334</v>
      </c>
    </row>
    <row r="24" spans="1:4" x14ac:dyDescent="0.3">
      <c r="A24" s="59" t="s">
        <v>335</v>
      </c>
    </row>
    <row r="25" spans="1:4" x14ac:dyDescent="0.3">
      <c r="A25" s="59" t="s">
        <v>336</v>
      </c>
    </row>
    <row r="26" spans="1:4" x14ac:dyDescent="0.3">
      <c r="A26" s="59" t="s">
        <v>337</v>
      </c>
    </row>
  </sheetData>
  <mergeCells count="11">
    <mergeCell ref="B10:E10"/>
    <mergeCell ref="B11:E11"/>
    <mergeCell ref="B12:E12"/>
    <mergeCell ref="B13:E13"/>
    <mergeCell ref="B14:E14"/>
    <mergeCell ref="B9:E9"/>
    <mergeCell ref="B4:E4"/>
    <mergeCell ref="B5:E5"/>
    <mergeCell ref="B6:E6"/>
    <mergeCell ref="B7:E7"/>
    <mergeCell ref="B8:E8"/>
  </mergeCells>
  <phoneticPr fontId="4" type="noConversion"/>
  <conditionalFormatting sqref="D18:D21">
    <cfRule type="dataBar" priority="1">
      <dataBar>
        <cfvo type="num" val="0"/>
        <cfvo type="num" val="1"/>
        <color rgb="FF34A88C"/>
      </dataBar>
      <extLst>
        <ext xmlns:x14="http://schemas.microsoft.com/office/spreadsheetml/2009/9/main" uri="{B025F937-C7B1-47D3-B67F-A62EFF666E3E}">
          <x14:id>{12026D17-E32B-43E4-AC1E-B642FDBAB02B}</x14:id>
        </ext>
      </extLst>
    </cfRule>
  </conditionalFormatting>
  <pageMargins left="0.7" right="0.7" top="0.75" bottom="0.75" header="0.3" footer="0.3"/>
  <pageSetup paperSize="9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026D17-E32B-43E4-AC1E-B642FDBAB02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D18:D21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5F62-6623-45B8-8676-21367C463A9B}">
  <sheetPr>
    <pageSetUpPr fitToPage="1"/>
  </sheetPr>
  <dimension ref="A1:I19"/>
  <sheetViews>
    <sheetView workbookViewId="0">
      <pane ySplit="4" topLeftCell="A5" activePane="bottomLeft" state="frozen"/>
      <selection pane="bottomLeft"/>
    </sheetView>
  </sheetViews>
  <sheetFormatPr defaultRowHeight="13.5" x14ac:dyDescent="0.3"/>
  <cols>
    <col min="1" max="1" width="7.625" style="1" customWidth="1"/>
    <col min="2" max="2" width="8.625" style="1" customWidth="1"/>
    <col min="3" max="3" width="20.625" style="1" customWidth="1"/>
    <col min="4" max="4" width="62.625" style="1" customWidth="1"/>
    <col min="5" max="5" width="14.625" style="1" customWidth="1"/>
    <col min="6" max="6" width="34.625" style="1" customWidth="1"/>
    <col min="7" max="7" width="22.625" style="1" customWidth="1"/>
    <col min="8" max="8" width="7.625" style="1" customWidth="1"/>
    <col min="9" max="9" width="9.625" style="1" customWidth="1"/>
    <col min="10" max="16384" width="9" style="1"/>
  </cols>
  <sheetData>
    <row r="1" spans="1:9" ht="30" customHeight="1" x14ac:dyDescent="0.3">
      <c r="A1" s="2" t="s">
        <v>0</v>
      </c>
    </row>
    <row r="2" spans="1:9" x14ac:dyDescent="0.3">
      <c r="A2" s="3" t="s">
        <v>1</v>
      </c>
    </row>
    <row r="3" spans="1:9" ht="8.1" customHeight="1" x14ac:dyDescent="0.3"/>
    <row r="4" spans="1:9" ht="24" customHeight="1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ht="40.5" x14ac:dyDescent="0.3">
      <c r="A5" s="10" t="s">
        <v>11</v>
      </c>
      <c r="B5" s="14" t="s">
        <v>12</v>
      </c>
      <c r="C5" s="12" t="s">
        <v>13</v>
      </c>
      <c r="D5" s="5" t="s">
        <v>14</v>
      </c>
      <c r="E5" s="8" t="s">
        <v>15</v>
      </c>
      <c r="F5" s="5" t="s">
        <v>16</v>
      </c>
      <c r="G5" s="5" t="s">
        <v>17</v>
      </c>
      <c r="H5" s="8" t="s">
        <v>18</v>
      </c>
      <c r="I5" s="8" t="s">
        <v>19</v>
      </c>
    </row>
    <row r="6" spans="1:9" ht="27" x14ac:dyDescent="0.3">
      <c r="A6" s="11" t="s">
        <v>20</v>
      </c>
      <c r="B6" s="15" t="s">
        <v>12</v>
      </c>
      <c r="C6" s="13" t="s">
        <v>21</v>
      </c>
      <c r="D6" s="7" t="s">
        <v>22</v>
      </c>
      <c r="E6" s="9" t="s">
        <v>15</v>
      </c>
      <c r="F6" s="7" t="s">
        <v>23</v>
      </c>
      <c r="G6" s="7" t="s">
        <v>24</v>
      </c>
      <c r="H6" s="9" t="s">
        <v>18</v>
      </c>
      <c r="I6" s="9" t="s">
        <v>19</v>
      </c>
    </row>
    <row r="7" spans="1:9" ht="27" x14ac:dyDescent="0.3">
      <c r="A7" s="10" t="s">
        <v>25</v>
      </c>
      <c r="B7" s="14" t="s">
        <v>12</v>
      </c>
      <c r="C7" s="12" t="s">
        <v>26</v>
      </c>
      <c r="D7" s="5" t="s">
        <v>27</v>
      </c>
      <c r="E7" s="8" t="s">
        <v>15</v>
      </c>
      <c r="F7" s="5" t="s">
        <v>28</v>
      </c>
      <c r="G7" s="5" t="s">
        <v>29</v>
      </c>
      <c r="H7" s="8" t="s">
        <v>18</v>
      </c>
      <c r="I7" s="8" t="s">
        <v>19</v>
      </c>
    </row>
    <row r="8" spans="1:9" ht="27" x14ac:dyDescent="0.3">
      <c r="A8" s="11" t="s">
        <v>30</v>
      </c>
      <c r="B8" s="15" t="s">
        <v>12</v>
      </c>
      <c r="C8" s="13" t="s">
        <v>31</v>
      </c>
      <c r="D8" s="7" t="s">
        <v>32</v>
      </c>
      <c r="E8" s="9" t="s">
        <v>15</v>
      </c>
      <c r="F8" s="7" t="s">
        <v>15</v>
      </c>
      <c r="G8" s="7" t="s">
        <v>15</v>
      </c>
      <c r="H8" s="9" t="s">
        <v>18</v>
      </c>
      <c r="I8" s="9" t="s">
        <v>19</v>
      </c>
    </row>
    <row r="9" spans="1:9" ht="21" customHeight="1" x14ac:dyDescent="0.3">
      <c r="A9" s="10" t="s">
        <v>33</v>
      </c>
      <c r="B9" s="16" t="s">
        <v>34</v>
      </c>
      <c r="C9" s="12" t="s">
        <v>35</v>
      </c>
      <c r="D9" s="5" t="s">
        <v>36</v>
      </c>
      <c r="E9" s="8" t="s">
        <v>15</v>
      </c>
      <c r="F9" s="5" t="s">
        <v>37</v>
      </c>
      <c r="G9" s="5" t="s">
        <v>38</v>
      </c>
      <c r="H9" s="8" t="s">
        <v>39</v>
      </c>
      <c r="I9" s="8" t="s">
        <v>338</v>
      </c>
    </row>
    <row r="10" spans="1:9" ht="27" x14ac:dyDescent="0.3">
      <c r="A10" s="11" t="s">
        <v>40</v>
      </c>
      <c r="B10" s="17" t="s">
        <v>34</v>
      </c>
      <c r="C10" s="13" t="s">
        <v>41</v>
      </c>
      <c r="D10" s="7" t="s">
        <v>42</v>
      </c>
      <c r="E10" s="9" t="s">
        <v>43</v>
      </c>
      <c r="F10" s="7" t="s">
        <v>44</v>
      </c>
      <c r="G10" s="7" t="s">
        <v>45</v>
      </c>
      <c r="H10" s="9" t="s">
        <v>39</v>
      </c>
      <c r="I10" s="9" t="s">
        <v>338</v>
      </c>
    </row>
    <row r="11" spans="1:9" ht="21" customHeight="1" x14ac:dyDescent="0.3">
      <c r="A11" s="10" t="s">
        <v>46</v>
      </c>
      <c r="B11" s="16" t="s">
        <v>34</v>
      </c>
      <c r="C11" s="12" t="s">
        <v>47</v>
      </c>
      <c r="D11" s="5" t="s">
        <v>48</v>
      </c>
      <c r="E11" s="8" t="s">
        <v>49</v>
      </c>
      <c r="F11" s="5" t="s">
        <v>50</v>
      </c>
      <c r="G11" s="5" t="s">
        <v>51</v>
      </c>
      <c r="H11" s="8" t="s">
        <v>39</v>
      </c>
      <c r="I11" s="8" t="s">
        <v>338</v>
      </c>
    </row>
    <row r="12" spans="1:9" ht="21" customHeight="1" x14ac:dyDescent="0.3">
      <c r="A12" s="11" t="s">
        <v>52</v>
      </c>
      <c r="B12" s="17" t="s">
        <v>34</v>
      </c>
      <c r="C12" s="13" t="s">
        <v>53</v>
      </c>
      <c r="D12" s="7" t="s">
        <v>54</v>
      </c>
      <c r="E12" s="9" t="s">
        <v>43</v>
      </c>
      <c r="F12" s="7" t="s">
        <v>55</v>
      </c>
      <c r="G12" s="7" t="s">
        <v>56</v>
      </c>
      <c r="H12" s="9" t="s">
        <v>57</v>
      </c>
      <c r="I12" s="9" t="s">
        <v>339</v>
      </c>
    </row>
    <row r="13" spans="1:9" ht="21" customHeight="1" x14ac:dyDescent="0.3">
      <c r="A13" s="10" t="s">
        <v>58</v>
      </c>
      <c r="B13" s="16" t="s">
        <v>34</v>
      </c>
      <c r="C13" s="12" t="s">
        <v>59</v>
      </c>
      <c r="D13" s="5" t="s">
        <v>60</v>
      </c>
      <c r="E13" s="8" t="s">
        <v>61</v>
      </c>
      <c r="F13" s="5" t="s">
        <v>62</v>
      </c>
      <c r="G13" s="5" t="s">
        <v>63</v>
      </c>
      <c r="H13" s="8" t="s">
        <v>57</v>
      </c>
      <c r="I13" s="8" t="s">
        <v>339</v>
      </c>
    </row>
    <row r="14" spans="1:9" ht="21" customHeight="1" x14ac:dyDescent="0.3">
      <c r="A14" s="11" t="s">
        <v>64</v>
      </c>
      <c r="B14" s="17" t="s">
        <v>34</v>
      </c>
      <c r="C14" s="13" t="s">
        <v>65</v>
      </c>
      <c r="D14" s="7" t="s">
        <v>66</v>
      </c>
      <c r="E14" s="9" t="s">
        <v>15</v>
      </c>
      <c r="F14" s="7" t="s">
        <v>67</v>
      </c>
      <c r="G14" s="7" t="s">
        <v>68</v>
      </c>
      <c r="H14" s="9" t="s">
        <v>69</v>
      </c>
      <c r="I14" s="9" t="s">
        <v>339</v>
      </c>
    </row>
    <row r="15" spans="1:9" ht="21" customHeight="1" x14ac:dyDescent="0.3">
      <c r="A15" s="10" t="s">
        <v>70</v>
      </c>
      <c r="B15" s="18" t="s">
        <v>71</v>
      </c>
      <c r="C15" s="12" t="s">
        <v>72</v>
      </c>
      <c r="D15" s="5" t="s">
        <v>73</v>
      </c>
      <c r="E15" s="8" t="s">
        <v>15</v>
      </c>
      <c r="F15" s="5" t="s">
        <v>74</v>
      </c>
      <c r="G15" s="5" t="s">
        <v>75</v>
      </c>
      <c r="H15" s="8" t="s">
        <v>39</v>
      </c>
      <c r="I15" s="8" t="s">
        <v>338</v>
      </c>
    </row>
    <row r="16" spans="1:9" ht="21" customHeight="1" x14ac:dyDescent="0.3">
      <c r="A16" s="11" t="s">
        <v>76</v>
      </c>
      <c r="B16" s="19" t="s">
        <v>71</v>
      </c>
      <c r="C16" s="13" t="s">
        <v>77</v>
      </c>
      <c r="D16" s="7" t="s">
        <v>78</v>
      </c>
      <c r="E16" s="9" t="s">
        <v>79</v>
      </c>
      <c r="F16" s="7" t="s">
        <v>80</v>
      </c>
      <c r="G16" s="7" t="s">
        <v>81</v>
      </c>
      <c r="H16" s="9" t="s">
        <v>39</v>
      </c>
      <c r="I16" s="9" t="s">
        <v>338</v>
      </c>
    </row>
    <row r="17" spans="1:9" ht="27" x14ac:dyDescent="0.3">
      <c r="A17" s="10" t="s">
        <v>82</v>
      </c>
      <c r="B17" s="18" t="s">
        <v>71</v>
      </c>
      <c r="C17" s="12" t="s">
        <v>83</v>
      </c>
      <c r="D17" s="5" t="s">
        <v>84</v>
      </c>
      <c r="E17" s="8" t="s">
        <v>85</v>
      </c>
      <c r="F17" s="5" t="s">
        <v>86</v>
      </c>
      <c r="G17" s="5" t="s">
        <v>45</v>
      </c>
      <c r="H17" s="8" t="s">
        <v>57</v>
      </c>
      <c r="I17" s="8" t="s">
        <v>339</v>
      </c>
    </row>
    <row r="18" spans="1:9" ht="21" customHeight="1" x14ac:dyDescent="0.3">
      <c r="A18" s="11" t="s">
        <v>87</v>
      </c>
      <c r="B18" s="19" t="s">
        <v>71</v>
      </c>
      <c r="C18" s="13" t="s">
        <v>88</v>
      </c>
      <c r="D18" s="7" t="s">
        <v>89</v>
      </c>
      <c r="E18" s="9" t="s">
        <v>15</v>
      </c>
      <c r="F18" s="7" t="s">
        <v>90</v>
      </c>
      <c r="G18" s="7" t="s">
        <v>81</v>
      </c>
      <c r="H18" s="9" t="s">
        <v>57</v>
      </c>
      <c r="I18" s="9" t="s">
        <v>339</v>
      </c>
    </row>
    <row r="19" spans="1:9" ht="21" customHeight="1" x14ac:dyDescent="0.3">
      <c r="A19" s="10" t="s">
        <v>91</v>
      </c>
      <c r="B19" s="18" t="s">
        <v>71</v>
      </c>
      <c r="C19" s="12" t="s">
        <v>92</v>
      </c>
      <c r="D19" s="5" t="s">
        <v>93</v>
      </c>
      <c r="E19" s="8" t="s">
        <v>15</v>
      </c>
      <c r="F19" s="5" t="s">
        <v>94</v>
      </c>
      <c r="G19" s="5" t="s">
        <v>95</v>
      </c>
      <c r="H19" s="8" t="s">
        <v>69</v>
      </c>
      <c r="I19" s="8" t="s">
        <v>339</v>
      </c>
    </row>
  </sheetData>
  <autoFilter ref="A4:I19" xr:uid="{03D05F62-6623-45B8-8676-21367C463A9B}"/>
  <phoneticPr fontId="4" type="noConversion"/>
  <conditionalFormatting sqref="I5:I19">
    <cfRule type="cellIs" dxfId="1" priority="1" stopIfTrue="1" operator="equal">
      <formula>"완료"</formula>
    </cfRule>
    <cfRule type="cellIs" dxfId="0" priority="2" stopIfTrue="1" operator="equal">
      <formula>"진행중"</formula>
    </cfRule>
  </conditionalFormatting>
  <dataValidations count="1">
    <dataValidation type="list" allowBlank="1" showInputMessage="1" showErrorMessage="1" sqref="I5:I19" xr:uid="{B9711F60-4CA2-46A6-B870-6F9F39C612F7}">
      <formula1>"완료,진행중,예정"</formula1>
    </dataValidation>
  </dataValidations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624A-14BE-4F04-B0F0-5D3E2C2C676A}">
  <sheetPr>
    <pageSetUpPr fitToPage="1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3.5" x14ac:dyDescent="0.3"/>
  <cols>
    <col min="1" max="1" width="6.625" style="1" customWidth="1"/>
    <col min="2" max="2" width="44.625" style="1" customWidth="1"/>
    <col min="3" max="3" width="11.625" style="1" customWidth="1"/>
    <col min="4" max="4" width="26.625" style="1" customWidth="1"/>
    <col min="5" max="5" width="34.625" style="1" customWidth="1"/>
    <col min="6" max="6" width="50.625" style="1" customWidth="1"/>
    <col min="7" max="16384" width="9" style="1"/>
  </cols>
  <sheetData>
    <row r="1" spans="1:6" ht="30" customHeight="1" x14ac:dyDescent="0.3">
      <c r="A1" s="2" t="s">
        <v>96</v>
      </c>
    </row>
    <row r="2" spans="1:6" x14ac:dyDescent="0.3">
      <c r="A2" s="3" t="s">
        <v>97</v>
      </c>
    </row>
    <row r="3" spans="1:6" ht="8.1" customHeight="1" x14ac:dyDescent="0.3"/>
    <row r="4" spans="1:6" ht="24" customHeight="1" x14ac:dyDescent="0.3">
      <c r="A4" s="6" t="s">
        <v>98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</row>
    <row r="5" spans="1:6" ht="27" x14ac:dyDescent="0.3">
      <c r="A5" s="10" t="s">
        <v>104</v>
      </c>
      <c r="B5" s="12" t="s">
        <v>105</v>
      </c>
      <c r="C5" s="8" t="s">
        <v>82</v>
      </c>
      <c r="D5" s="5" t="s">
        <v>106</v>
      </c>
      <c r="E5" s="5" t="s">
        <v>107</v>
      </c>
      <c r="F5" s="5" t="s">
        <v>108</v>
      </c>
    </row>
    <row r="6" spans="1:6" ht="21" customHeight="1" x14ac:dyDescent="0.3">
      <c r="A6" s="11" t="s">
        <v>79</v>
      </c>
      <c r="B6" s="13" t="s">
        <v>109</v>
      </c>
      <c r="C6" s="9" t="s">
        <v>110</v>
      </c>
      <c r="D6" s="7" t="s">
        <v>111</v>
      </c>
      <c r="E6" s="7" t="s">
        <v>112</v>
      </c>
      <c r="F6" s="7" t="s">
        <v>113</v>
      </c>
    </row>
    <row r="7" spans="1:6" ht="27" x14ac:dyDescent="0.3">
      <c r="A7" s="10" t="s">
        <v>114</v>
      </c>
      <c r="B7" s="12" t="s">
        <v>115</v>
      </c>
      <c r="C7" s="8" t="s">
        <v>82</v>
      </c>
      <c r="D7" s="5" t="s">
        <v>116</v>
      </c>
      <c r="E7" s="5" t="s">
        <v>107</v>
      </c>
      <c r="F7" s="5" t="s">
        <v>117</v>
      </c>
    </row>
    <row r="8" spans="1:6" ht="21" customHeight="1" x14ac:dyDescent="0.3">
      <c r="A8" s="11" t="s">
        <v>118</v>
      </c>
      <c r="B8" s="13" t="s">
        <v>119</v>
      </c>
      <c r="C8" s="9" t="s">
        <v>120</v>
      </c>
      <c r="D8" s="7" t="s">
        <v>121</v>
      </c>
      <c r="E8" s="7" t="s">
        <v>107</v>
      </c>
      <c r="F8" s="7" t="s">
        <v>122</v>
      </c>
    </row>
    <row r="9" spans="1:6" ht="27" x14ac:dyDescent="0.3">
      <c r="A9" s="10" t="s">
        <v>43</v>
      </c>
      <c r="B9" s="12" t="s">
        <v>123</v>
      </c>
      <c r="C9" s="8" t="s">
        <v>124</v>
      </c>
      <c r="D9" s="5" t="s">
        <v>111</v>
      </c>
      <c r="E9" s="5" t="s">
        <v>125</v>
      </c>
      <c r="F9" s="5" t="s">
        <v>126</v>
      </c>
    </row>
    <row r="10" spans="1:6" ht="21" customHeight="1" x14ac:dyDescent="0.3">
      <c r="A10" s="11" t="s">
        <v>127</v>
      </c>
      <c r="B10" s="13" t="s">
        <v>128</v>
      </c>
      <c r="C10" s="9" t="s">
        <v>58</v>
      </c>
      <c r="D10" s="7" t="s">
        <v>129</v>
      </c>
      <c r="E10" s="7" t="s">
        <v>130</v>
      </c>
      <c r="F10" s="7" t="s">
        <v>131</v>
      </c>
    </row>
    <row r="11" spans="1:6" ht="21" customHeight="1" x14ac:dyDescent="0.3">
      <c r="A11" s="10" t="s">
        <v>132</v>
      </c>
      <c r="B11" s="12" t="s">
        <v>133</v>
      </c>
      <c r="C11" s="8" t="s">
        <v>46</v>
      </c>
      <c r="D11" s="5" t="s">
        <v>129</v>
      </c>
      <c r="E11" s="5" t="s">
        <v>134</v>
      </c>
      <c r="F11" s="5" t="s">
        <v>135</v>
      </c>
    </row>
    <row r="12" spans="1:6" ht="21" customHeight="1" x14ac:dyDescent="0.3">
      <c r="A12" s="11" t="s">
        <v>136</v>
      </c>
      <c r="B12" s="13" t="s">
        <v>137</v>
      </c>
      <c r="C12" s="9" t="s">
        <v>46</v>
      </c>
      <c r="D12" s="7" t="s">
        <v>138</v>
      </c>
      <c r="E12" s="7" t="s">
        <v>139</v>
      </c>
      <c r="F12" s="7" t="s">
        <v>140</v>
      </c>
    </row>
  </sheetData>
  <phoneticPr fontId="4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DC6A-BC6D-4C0C-B4A6-DB628986E15D}">
  <sheetPr>
    <pageSetUpPr fitToPage="1"/>
  </sheetPr>
  <dimension ref="A1:E15"/>
  <sheetViews>
    <sheetView workbookViewId="0">
      <pane ySplit="4" topLeftCell="A5" activePane="bottomLeft" state="frozen"/>
      <selection pane="bottomLeft"/>
    </sheetView>
  </sheetViews>
  <sheetFormatPr defaultRowHeight="13.5" x14ac:dyDescent="0.3"/>
  <cols>
    <col min="1" max="1" width="8.625" style="1" customWidth="1"/>
    <col min="2" max="2" width="44.625" style="1" customWidth="1"/>
    <col min="3" max="3" width="32.625" style="1" customWidth="1"/>
    <col min="4" max="4" width="26.625" style="1" customWidth="1"/>
    <col min="5" max="5" width="12.625" style="1" customWidth="1"/>
    <col min="6" max="16384" width="9" style="1"/>
  </cols>
  <sheetData>
    <row r="1" spans="1:5" ht="30" customHeight="1" x14ac:dyDescent="0.3">
      <c r="A1" s="2" t="s">
        <v>141</v>
      </c>
    </row>
    <row r="2" spans="1:5" x14ac:dyDescent="0.3">
      <c r="A2" s="3" t="s">
        <v>142</v>
      </c>
    </row>
    <row r="3" spans="1:5" ht="8.1" customHeight="1" x14ac:dyDescent="0.3"/>
    <row r="4" spans="1:5" ht="24" customHeight="1" x14ac:dyDescent="0.3">
      <c r="A4" s="6" t="s">
        <v>143</v>
      </c>
      <c r="B4" s="6" t="s">
        <v>144</v>
      </c>
      <c r="C4" s="6" t="s">
        <v>145</v>
      </c>
      <c r="D4" s="6" t="s">
        <v>8</v>
      </c>
      <c r="E4" s="6" t="s">
        <v>146</v>
      </c>
    </row>
    <row r="5" spans="1:5" ht="21" customHeight="1" x14ac:dyDescent="0.3">
      <c r="A5" s="14" t="s">
        <v>12</v>
      </c>
      <c r="B5" s="5" t="s">
        <v>147</v>
      </c>
      <c r="C5" s="5" t="s">
        <v>148</v>
      </c>
      <c r="D5" s="5" t="s">
        <v>149</v>
      </c>
      <c r="E5" s="8" t="s">
        <v>150</v>
      </c>
    </row>
    <row r="6" spans="1:5" ht="21" customHeight="1" x14ac:dyDescent="0.3">
      <c r="A6" s="15" t="s">
        <v>12</v>
      </c>
      <c r="B6" s="7" t="s">
        <v>151</v>
      </c>
      <c r="C6" s="7" t="s">
        <v>152</v>
      </c>
      <c r="D6" s="7" t="s">
        <v>95</v>
      </c>
      <c r="E6" s="9" t="s">
        <v>153</v>
      </c>
    </row>
    <row r="7" spans="1:5" ht="21" customHeight="1" x14ac:dyDescent="0.3">
      <c r="A7" s="16" t="s">
        <v>34</v>
      </c>
      <c r="B7" s="5" t="s">
        <v>154</v>
      </c>
      <c r="C7" s="5" t="s">
        <v>155</v>
      </c>
      <c r="D7" s="5" t="s">
        <v>38</v>
      </c>
      <c r="E7" s="8" t="s">
        <v>156</v>
      </c>
    </row>
    <row r="8" spans="1:5" ht="21" customHeight="1" x14ac:dyDescent="0.3">
      <c r="A8" s="17" t="s">
        <v>34</v>
      </c>
      <c r="B8" s="7" t="s">
        <v>50</v>
      </c>
      <c r="C8" s="7" t="s">
        <v>157</v>
      </c>
      <c r="D8" s="7" t="s">
        <v>51</v>
      </c>
      <c r="E8" s="9" t="s">
        <v>46</v>
      </c>
    </row>
    <row r="9" spans="1:5" ht="21" customHeight="1" x14ac:dyDescent="0.3">
      <c r="A9" s="16" t="s">
        <v>34</v>
      </c>
      <c r="B9" s="5" t="s">
        <v>55</v>
      </c>
      <c r="C9" s="5" t="s">
        <v>158</v>
      </c>
      <c r="D9" s="5" t="s">
        <v>56</v>
      </c>
      <c r="E9" s="8" t="s">
        <v>52</v>
      </c>
    </row>
    <row r="10" spans="1:5" ht="21" customHeight="1" x14ac:dyDescent="0.3">
      <c r="A10" s="17" t="s">
        <v>34</v>
      </c>
      <c r="B10" s="7" t="s">
        <v>62</v>
      </c>
      <c r="C10" s="7" t="s">
        <v>159</v>
      </c>
      <c r="D10" s="7" t="s">
        <v>63</v>
      </c>
      <c r="E10" s="9" t="s">
        <v>58</v>
      </c>
    </row>
    <row r="11" spans="1:5" ht="21" customHeight="1" x14ac:dyDescent="0.3">
      <c r="A11" s="16" t="s">
        <v>34</v>
      </c>
      <c r="B11" s="5" t="s">
        <v>67</v>
      </c>
      <c r="C11" s="5" t="s">
        <v>65</v>
      </c>
      <c r="D11" s="5" t="s">
        <v>68</v>
      </c>
      <c r="E11" s="8" t="s">
        <v>64</v>
      </c>
    </row>
    <row r="12" spans="1:5" ht="21" customHeight="1" x14ac:dyDescent="0.3">
      <c r="A12" s="19" t="s">
        <v>71</v>
      </c>
      <c r="B12" s="7" t="s">
        <v>74</v>
      </c>
      <c r="C12" s="7" t="s">
        <v>160</v>
      </c>
      <c r="D12" s="7" t="s">
        <v>75</v>
      </c>
      <c r="E12" s="9" t="s">
        <v>70</v>
      </c>
    </row>
    <row r="13" spans="1:5" ht="21" customHeight="1" x14ac:dyDescent="0.3">
      <c r="A13" s="18" t="s">
        <v>71</v>
      </c>
      <c r="B13" s="5" t="s">
        <v>161</v>
      </c>
      <c r="C13" s="5" t="s">
        <v>162</v>
      </c>
      <c r="D13" s="5" t="s">
        <v>38</v>
      </c>
      <c r="E13" s="8" t="s">
        <v>110</v>
      </c>
    </row>
    <row r="14" spans="1:5" ht="21" customHeight="1" x14ac:dyDescent="0.3">
      <c r="A14" s="19" t="s">
        <v>71</v>
      </c>
      <c r="B14" s="7" t="s">
        <v>90</v>
      </c>
      <c r="C14" s="7" t="s">
        <v>163</v>
      </c>
      <c r="D14" s="7" t="s">
        <v>81</v>
      </c>
      <c r="E14" s="9" t="s">
        <v>87</v>
      </c>
    </row>
    <row r="15" spans="1:5" ht="21" customHeight="1" x14ac:dyDescent="0.3">
      <c r="A15" s="14" t="s">
        <v>12</v>
      </c>
      <c r="B15" s="5" t="s">
        <v>164</v>
      </c>
      <c r="C15" s="5" t="s">
        <v>165</v>
      </c>
      <c r="D15" s="5" t="s">
        <v>166</v>
      </c>
      <c r="E15" s="8" t="s">
        <v>25</v>
      </c>
    </row>
  </sheetData>
  <phoneticPr fontId="4" type="noConversion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6041-3D2F-498B-9570-7B8A7CA7A0CA}">
  <sheetPr>
    <pageSetUpPr fitToPage="1"/>
  </sheetPr>
  <dimension ref="A1:F43"/>
  <sheetViews>
    <sheetView showGridLines="0" workbookViewId="0"/>
  </sheetViews>
  <sheetFormatPr defaultRowHeight="13.5" x14ac:dyDescent="0.3"/>
  <cols>
    <col min="1" max="1" width="10.625" style="1" customWidth="1"/>
    <col min="2" max="3" width="18.625" style="1" customWidth="1"/>
    <col min="4" max="4" width="12.625" style="1" customWidth="1"/>
    <col min="5" max="5" width="36.625" style="1" customWidth="1"/>
    <col min="6" max="6" width="56.625" style="1" customWidth="1"/>
    <col min="7" max="16384" width="9" style="1"/>
  </cols>
  <sheetData>
    <row r="1" spans="1:1" ht="30" customHeight="1" x14ac:dyDescent="0.3">
      <c r="A1" s="2" t="s">
        <v>281</v>
      </c>
    </row>
    <row r="2" spans="1:1" x14ac:dyDescent="0.3">
      <c r="A2" s="3" t="s">
        <v>282</v>
      </c>
    </row>
    <row r="3" spans="1:1" ht="8.1" customHeight="1" x14ac:dyDescent="0.3"/>
    <row r="37" spans="1:6" ht="17.25" x14ac:dyDescent="0.3">
      <c r="A37" s="49" t="s">
        <v>283</v>
      </c>
    </row>
    <row r="38" spans="1:6" ht="24" customHeight="1" x14ac:dyDescent="0.3">
      <c r="A38" s="6" t="s">
        <v>284</v>
      </c>
      <c r="B38" s="6" t="s">
        <v>285</v>
      </c>
      <c r="C38" s="6" t="s">
        <v>286</v>
      </c>
      <c r="D38" s="6" t="s">
        <v>287</v>
      </c>
      <c r="E38" s="6" t="s">
        <v>288</v>
      </c>
      <c r="F38" s="6" t="s">
        <v>178</v>
      </c>
    </row>
    <row r="39" spans="1:6" ht="21" customHeight="1" x14ac:dyDescent="0.3">
      <c r="A39" s="8" t="s">
        <v>289</v>
      </c>
      <c r="B39" s="5" t="s">
        <v>290</v>
      </c>
      <c r="C39" s="5" t="s">
        <v>211</v>
      </c>
      <c r="D39" s="8" t="s">
        <v>291</v>
      </c>
      <c r="E39" s="5" t="s">
        <v>292</v>
      </c>
      <c r="F39" s="5" t="s">
        <v>293</v>
      </c>
    </row>
    <row r="40" spans="1:6" ht="21" customHeight="1" x14ac:dyDescent="0.3">
      <c r="A40" s="9" t="s">
        <v>294</v>
      </c>
      <c r="B40" s="7" t="s">
        <v>211</v>
      </c>
      <c r="C40" s="7" t="s">
        <v>235</v>
      </c>
      <c r="D40" s="9" t="s">
        <v>291</v>
      </c>
      <c r="E40" s="7" t="s">
        <v>295</v>
      </c>
      <c r="F40" s="7" t="s">
        <v>296</v>
      </c>
    </row>
    <row r="41" spans="1:6" ht="21" customHeight="1" x14ac:dyDescent="0.3">
      <c r="A41" s="8" t="s">
        <v>297</v>
      </c>
      <c r="B41" s="5" t="s">
        <v>298</v>
      </c>
      <c r="C41" s="5" t="s">
        <v>224</v>
      </c>
      <c r="D41" s="8" t="s">
        <v>299</v>
      </c>
      <c r="E41" s="5" t="s">
        <v>300</v>
      </c>
      <c r="F41" s="5" t="s">
        <v>301</v>
      </c>
    </row>
    <row r="42" spans="1:6" ht="21" customHeight="1" x14ac:dyDescent="0.3">
      <c r="A42" s="9" t="s">
        <v>302</v>
      </c>
      <c r="B42" s="7" t="s">
        <v>235</v>
      </c>
      <c r="C42" s="7" t="s">
        <v>260</v>
      </c>
      <c r="D42" s="9" t="s">
        <v>291</v>
      </c>
      <c r="E42" s="7" t="s">
        <v>303</v>
      </c>
      <c r="F42" s="7" t="s">
        <v>304</v>
      </c>
    </row>
    <row r="43" spans="1:6" ht="21" customHeight="1" x14ac:dyDescent="0.3">
      <c r="A43" s="8" t="s">
        <v>305</v>
      </c>
      <c r="B43" s="5" t="s">
        <v>306</v>
      </c>
      <c r="C43" s="5" t="s">
        <v>260</v>
      </c>
      <c r="D43" s="8" t="s">
        <v>291</v>
      </c>
      <c r="E43" s="5" t="s">
        <v>307</v>
      </c>
      <c r="F43" s="5" t="s">
        <v>308</v>
      </c>
    </row>
  </sheetData>
  <phoneticPr fontId="4" type="noConversion"/>
  <pageMargins left="0.7" right="0.7" top="0.75" bottom="0.75" header="0.3" footer="0.3"/>
  <pageSetup paperSize="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D38E-527E-4D3B-9733-4FDA80BD245C}">
  <sheetPr>
    <pageSetUpPr fitToPage="1"/>
  </sheetPr>
  <dimension ref="A1:J38"/>
  <sheetViews>
    <sheetView workbookViewId="0">
      <pane ySplit="4" topLeftCell="A5" activePane="bottomLeft" state="frozen"/>
      <selection pane="bottomLeft"/>
    </sheetView>
  </sheetViews>
  <sheetFormatPr defaultRowHeight="13.5" x14ac:dyDescent="0.3"/>
  <cols>
    <col min="1" max="1" width="13.625" style="1" customWidth="1"/>
    <col min="2" max="2" width="5.625" style="1" customWidth="1"/>
    <col min="3" max="5" width="16.625" style="1" customWidth="1"/>
    <col min="6" max="6" width="6.625" style="1" customWidth="1"/>
    <col min="7" max="7" width="18.625" style="1" customWidth="1"/>
    <col min="8" max="8" width="9.625" style="1" customWidth="1"/>
    <col min="9" max="9" width="12.625" style="1" customWidth="1"/>
    <col min="10" max="10" width="52.625" style="1" customWidth="1"/>
    <col min="11" max="16384" width="9" style="1"/>
  </cols>
  <sheetData>
    <row r="1" spans="1:10" ht="30" customHeight="1" x14ac:dyDescent="0.3">
      <c r="A1" s="2" t="s">
        <v>167</v>
      </c>
    </row>
    <row r="2" spans="1:10" x14ac:dyDescent="0.3">
      <c r="A2" s="3" t="s">
        <v>168</v>
      </c>
    </row>
    <row r="3" spans="1:10" ht="8.1" customHeight="1" x14ac:dyDescent="0.3"/>
    <row r="4" spans="1:10" ht="24" customHeight="1" x14ac:dyDescent="0.3">
      <c r="A4" s="24" t="s">
        <v>169</v>
      </c>
      <c r="B4" s="24" t="s">
        <v>170</v>
      </c>
      <c r="C4" s="24" t="s">
        <v>171</v>
      </c>
      <c r="D4" s="24" t="s">
        <v>172</v>
      </c>
      <c r="E4" s="24" t="s">
        <v>173</v>
      </c>
      <c r="F4" s="24" t="s">
        <v>174</v>
      </c>
      <c r="G4" s="24" t="s">
        <v>175</v>
      </c>
      <c r="H4" s="24" t="s">
        <v>176</v>
      </c>
      <c r="I4" s="24" t="s">
        <v>177</v>
      </c>
      <c r="J4" s="24" t="s">
        <v>178</v>
      </c>
    </row>
    <row r="5" spans="1:10" ht="21" customHeight="1" x14ac:dyDescent="0.3">
      <c r="A5" s="63" t="s">
        <v>179</v>
      </c>
      <c r="B5" s="8" t="s">
        <v>180</v>
      </c>
      <c r="C5" s="12" t="s">
        <v>181</v>
      </c>
      <c r="D5" s="5" t="s">
        <v>182</v>
      </c>
      <c r="E5" s="5" t="s">
        <v>183</v>
      </c>
      <c r="F5" s="20" t="s">
        <v>184</v>
      </c>
      <c r="G5" s="22" t="s">
        <v>185</v>
      </c>
      <c r="H5" s="8" t="s">
        <v>186</v>
      </c>
      <c r="I5" s="8" t="s">
        <v>185</v>
      </c>
      <c r="J5" s="5" t="s">
        <v>187</v>
      </c>
    </row>
    <row r="6" spans="1:10" ht="21" customHeight="1" x14ac:dyDescent="0.3">
      <c r="A6" s="64"/>
      <c r="B6" s="9" t="s">
        <v>188</v>
      </c>
      <c r="C6" s="13" t="s">
        <v>189</v>
      </c>
      <c r="D6" s="7" t="s">
        <v>190</v>
      </c>
      <c r="E6" s="7" t="s">
        <v>191</v>
      </c>
      <c r="F6" s="21" t="s">
        <v>185</v>
      </c>
      <c r="G6" s="23" t="s">
        <v>185</v>
      </c>
      <c r="H6" s="9" t="s">
        <v>186</v>
      </c>
      <c r="I6" s="9" t="s">
        <v>184</v>
      </c>
      <c r="J6" s="7" t="s">
        <v>192</v>
      </c>
    </row>
    <row r="7" spans="1:10" ht="21" customHeight="1" x14ac:dyDescent="0.3">
      <c r="A7" s="64"/>
      <c r="B7" s="8" t="s">
        <v>193</v>
      </c>
      <c r="C7" s="12" t="s">
        <v>194</v>
      </c>
      <c r="D7" s="5" t="s">
        <v>195</v>
      </c>
      <c r="E7" s="5" t="s">
        <v>196</v>
      </c>
      <c r="F7" s="20" t="s">
        <v>185</v>
      </c>
      <c r="G7" s="22" t="s">
        <v>185</v>
      </c>
      <c r="H7" s="8" t="s">
        <v>186</v>
      </c>
      <c r="I7" s="8" t="s">
        <v>185</v>
      </c>
      <c r="J7" s="5" t="s">
        <v>197</v>
      </c>
    </row>
    <row r="8" spans="1:10" ht="21" customHeight="1" x14ac:dyDescent="0.3">
      <c r="A8" s="64"/>
      <c r="B8" s="9" t="s">
        <v>198</v>
      </c>
      <c r="C8" s="13" t="s">
        <v>199</v>
      </c>
      <c r="D8" s="7" t="s">
        <v>200</v>
      </c>
      <c r="E8" s="7" t="s">
        <v>201</v>
      </c>
      <c r="F8" s="21" t="s">
        <v>185</v>
      </c>
      <c r="G8" s="23" t="s">
        <v>185</v>
      </c>
      <c r="H8" s="9" t="s">
        <v>186</v>
      </c>
      <c r="I8" s="9" t="s">
        <v>185</v>
      </c>
      <c r="J8" s="7" t="s">
        <v>185</v>
      </c>
    </row>
    <row r="9" spans="1:10" ht="21" customHeight="1" x14ac:dyDescent="0.3">
      <c r="A9" s="64"/>
      <c r="B9" s="8" t="s">
        <v>202</v>
      </c>
      <c r="C9" s="12" t="s">
        <v>203</v>
      </c>
      <c r="D9" s="5" t="s">
        <v>204</v>
      </c>
      <c r="E9" s="5" t="s">
        <v>205</v>
      </c>
      <c r="F9" s="20" t="s">
        <v>185</v>
      </c>
      <c r="G9" s="22" t="s">
        <v>185</v>
      </c>
      <c r="H9" s="8" t="s">
        <v>206</v>
      </c>
      <c r="I9" s="8" t="s">
        <v>185</v>
      </c>
      <c r="J9" s="5" t="s">
        <v>207</v>
      </c>
    </row>
    <row r="10" spans="1:10" ht="21" customHeight="1" thickBot="1" x14ac:dyDescent="0.35">
      <c r="A10" s="64"/>
      <c r="B10" s="35" t="s">
        <v>208</v>
      </c>
      <c r="C10" s="36" t="s">
        <v>209</v>
      </c>
      <c r="D10" s="37" t="s">
        <v>143</v>
      </c>
      <c r="E10" s="37" t="s">
        <v>205</v>
      </c>
      <c r="F10" s="38" t="s">
        <v>185</v>
      </c>
      <c r="G10" s="39" t="s">
        <v>185</v>
      </c>
      <c r="H10" s="35" t="s">
        <v>186</v>
      </c>
      <c r="I10" s="35" t="s">
        <v>185</v>
      </c>
      <c r="J10" s="37" t="s">
        <v>210</v>
      </c>
    </row>
    <row r="11" spans="1:10" ht="21" customHeight="1" x14ac:dyDescent="0.3">
      <c r="A11" s="65" t="s">
        <v>211</v>
      </c>
      <c r="B11" s="30" t="s">
        <v>180</v>
      </c>
      <c r="C11" s="31" t="s">
        <v>181</v>
      </c>
      <c r="D11" s="32" t="s">
        <v>212</v>
      </c>
      <c r="E11" s="32" t="s">
        <v>183</v>
      </c>
      <c r="F11" s="33" t="s">
        <v>184</v>
      </c>
      <c r="G11" s="34" t="s">
        <v>185</v>
      </c>
      <c r="H11" s="30" t="s">
        <v>186</v>
      </c>
      <c r="I11" s="30" t="s">
        <v>185</v>
      </c>
      <c r="J11" s="32" t="s">
        <v>187</v>
      </c>
    </row>
    <row r="12" spans="1:10" ht="21" customHeight="1" x14ac:dyDescent="0.3">
      <c r="A12" s="64"/>
      <c r="B12" s="9" t="s">
        <v>188</v>
      </c>
      <c r="C12" s="13" t="s">
        <v>213</v>
      </c>
      <c r="D12" s="7" t="s">
        <v>214</v>
      </c>
      <c r="E12" s="7" t="s">
        <v>183</v>
      </c>
      <c r="F12" s="21" t="s">
        <v>185</v>
      </c>
      <c r="G12" s="23" t="s">
        <v>215</v>
      </c>
      <c r="H12" s="9" t="s">
        <v>186</v>
      </c>
      <c r="I12" s="9" t="s">
        <v>185</v>
      </c>
      <c r="J12" s="7" t="s">
        <v>216</v>
      </c>
    </row>
    <row r="13" spans="1:10" ht="21" customHeight="1" x14ac:dyDescent="0.3">
      <c r="A13" s="64"/>
      <c r="B13" s="8" t="s">
        <v>193</v>
      </c>
      <c r="C13" s="12" t="s">
        <v>199</v>
      </c>
      <c r="D13" s="5" t="s">
        <v>217</v>
      </c>
      <c r="E13" s="5" t="s">
        <v>191</v>
      </c>
      <c r="F13" s="20" t="s">
        <v>185</v>
      </c>
      <c r="G13" s="22" t="s">
        <v>185</v>
      </c>
      <c r="H13" s="8" t="s">
        <v>186</v>
      </c>
      <c r="I13" s="8" t="s">
        <v>185</v>
      </c>
      <c r="J13" s="5" t="s">
        <v>185</v>
      </c>
    </row>
    <row r="14" spans="1:10" ht="21" customHeight="1" x14ac:dyDescent="0.3">
      <c r="A14" s="64"/>
      <c r="B14" s="9" t="s">
        <v>198</v>
      </c>
      <c r="C14" s="13" t="s">
        <v>218</v>
      </c>
      <c r="D14" s="7" t="s">
        <v>219</v>
      </c>
      <c r="E14" s="7" t="s">
        <v>205</v>
      </c>
      <c r="F14" s="21" t="s">
        <v>185</v>
      </c>
      <c r="G14" s="23" t="s">
        <v>185</v>
      </c>
      <c r="H14" s="9" t="s">
        <v>186</v>
      </c>
      <c r="I14" s="9" t="s">
        <v>184</v>
      </c>
      <c r="J14" s="7" t="s">
        <v>220</v>
      </c>
    </row>
    <row r="15" spans="1:10" ht="21" customHeight="1" thickBot="1" x14ac:dyDescent="0.35">
      <c r="A15" s="64"/>
      <c r="B15" s="45" t="s">
        <v>202</v>
      </c>
      <c r="C15" s="46" t="s">
        <v>221</v>
      </c>
      <c r="D15" s="4" t="s">
        <v>222</v>
      </c>
      <c r="E15" s="4" t="s">
        <v>223</v>
      </c>
      <c r="F15" s="47" t="s">
        <v>185</v>
      </c>
      <c r="G15" s="48" t="s">
        <v>185</v>
      </c>
      <c r="H15" s="45" t="s">
        <v>186</v>
      </c>
      <c r="I15" s="45" t="s">
        <v>185</v>
      </c>
      <c r="J15" s="4" t="s">
        <v>185</v>
      </c>
    </row>
    <row r="16" spans="1:10" ht="21" customHeight="1" x14ac:dyDescent="0.3">
      <c r="A16" s="65" t="s">
        <v>224</v>
      </c>
      <c r="B16" s="40" t="s">
        <v>180</v>
      </c>
      <c r="C16" s="41" t="s">
        <v>181</v>
      </c>
      <c r="D16" s="42" t="s">
        <v>225</v>
      </c>
      <c r="E16" s="42" t="s">
        <v>183</v>
      </c>
      <c r="F16" s="43" t="s">
        <v>184</v>
      </c>
      <c r="G16" s="44" t="s">
        <v>185</v>
      </c>
      <c r="H16" s="40" t="s">
        <v>186</v>
      </c>
      <c r="I16" s="40" t="s">
        <v>185</v>
      </c>
      <c r="J16" s="42" t="s">
        <v>187</v>
      </c>
    </row>
    <row r="17" spans="1:10" ht="21" customHeight="1" x14ac:dyDescent="0.3">
      <c r="A17" s="64"/>
      <c r="B17" s="8" t="s">
        <v>188</v>
      </c>
      <c r="C17" s="12" t="s">
        <v>226</v>
      </c>
      <c r="D17" s="5" t="s">
        <v>227</v>
      </c>
      <c r="E17" s="5" t="s">
        <v>183</v>
      </c>
      <c r="F17" s="20" t="s">
        <v>185</v>
      </c>
      <c r="G17" s="22" t="s">
        <v>228</v>
      </c>
      <c r="H17" s="8" t="s">
        <v>186</v>
      </c>
      <c r="I17" s="8" t="s">
        <v>229</v>
      </c>
      <c r="J17" s="5" t="s">
        <v>230</v>
      </c>
    </row>
    <row r="18" spans="1:10" ht="21" customHeight="1" x14ac:dyDescent="0.3">
      <c r="A18" s="64"/>
      <c r="B18" s="9" t="s">
        <v>193</v>
      </c>
      <c r="C18" s="13" t="s">
        <v>231</v>
      </c>
      <c r="D18" s="7" t="s">
        <v>71</v>
      </c>
      <c r="E18" s="7" t="s">
        <v>183</v>
      </c>
      <c r="F18" s="21" t="s">
        <v>185</v>
      </c>
      <c r="G18" s="23" t="s">
        <v>215</v>
      </c>
      <c r="H18" s="9" t="s">
        <v>186</v>
      </c>
      <c r="I18" s="9" t="s">
        <v>229</v>
      </c>
      <c r="J18" s="7" t="s">
        <v>232</v>
      </c>
    </row>
    <row r="19" spans="1:10" ht="21" customHeight="1" thickBot="1" x14ac:dyDescent="0.35">
      <c r="A19" s="64"/>
      <c r="B19" s="45" t="s">
        <v>198</v>
      </c>
      <c r="C19" s="46" t="s">
        <v>233</v>
      </c>
      <c r="D19" s="4" t="s">
        <v>234</v>
      </c>
      <c r="E19" s="4" t="s">
        <v>223</v>
      </c>
      <c r="F19" s="47" t="s">
        <v>185</v>
      </c>
      <c r="G19" s="48" t="s">
        <v>185</v>
      </c>
      <c r="H19" s="45" t="s">
        <v>186</v>
      </c>
      <c r="I19" s="45" t="s">
        <v>185</v>
      </c>
      <c r="J19" s="4" t="s">
        <v>185</v>
      </c>
    </row>
    <row r="20" spans="1:10" ht="21" customHeight="1" x14ac:dyDescent="0.3">
      <c r="A20" s="65" t="s">
        <v>235</v>
      </c>
      <c r="B20" s="40" t="s">
        <v>180</v>
      </c>
      <c r="C20" s="41" t="s">
        <v>181</v>
      </c>
      <c r="D20" s="42" t="s">
        <v>236</v>
      </c>
      <c r="E20" s="42" t="s">
        <v>183</v>
      </c>
      <c r="F20" s="43" t="s">
        <v>184</v>
      </c>
      <c r="G20" s="44" t="s">
        <v>185</v>
      </c>
      <c r="H20" s="40" t="s">
        <v>186</v>
      </c>
      <c r="I20" s="40" t="s">
        <v>185</v>
      </c>
      <c r="J20" s="42" t="s">
        <v>187</v>
      </c>
    </row>
    <row r="21" spans="1:10" ht="21" customHeight="1" x14ac:dyDescent="0.3">
      <c r="A21" s="64"/>
      <c r="B21" s="8" t="s">
        <v>188</v>
      </c>
      <c r="C21" s="12" t="s">
        <v>226</v>
      </c>
      <c r="D21" s="5" t="s">
        <v>227</v>
      </c>
      <c r="E21" s="5" t="s">
        <v>183</v>
      </c>
      <c r="F21" s="20" t="s">
        <v>185</v>
      </c>
      <c r="G21" s="22" t="s">
        <v>228</v>
      </c>
      <c r="H21" s="8" t="s">
        <v>186</v>
      </c>
      <c r="I21" s="8" t="s">
        <v>185</v>
      </c>
      <c r="J21" s="5" t="s">
        <v>237</v>
      </c>
    </row>
    <row r="22" spans="1:10" ht="21" customHeight="1" x14ac:dyDescent="0.3">
      <c r="A22" s="64"/>
      <c r="B22" s="9" t="s">
        <v>193</v>
      </c>
      <c r="C22" s="13" t="s">
        <v>238</v>
      </c>
      <c r="D22" s="7" t="s">
        <v>239</v>
      </c>
      <c r="E22" s="7" t="s">
        <v>240</v>
      </c>
      <c r="F22" s="21" t="s">
        <v>185</v>
      </c>
      <c r="G22" s="23" t="s">
        <v>185</v>
      </c>
      <c r="H22" s="9" t="s">
        <v>186</v>
      </c>
      <c r="I22" s="9" t="s">
        <v>185</v>
      </c>
      <c r="J22" s="7" t="s">
        <v>185</v>
      </c>
    </row>
    <row r="23" spans="1:10" ht="21" customHeight="1" x14ac:dyDescent="0.3">
      <c r="A23" s="64"/>
      <c r="B23" s="8" t="s">
        <v>198</v>
      </c>
      <c r="C23" s="12" t="s">
        <v>241</v>
      </c>
      <c r="D23" s="5" t="s">
        <v>242</v>
      </c>
      <c r="E23" s="5" t="s">
        <v>243</v>
      </c>
      <c r="F23" s="20" t="s">
        <v>185</v>
      </c>
      <c r="G23" s="22" t="s">
        <v>185</v>
      </c>
      <c r="H23" s="8" t="s">
        <v>186</v>
      </c>
      <c r="I23" s="8" t="s">
        <v>185</v>
      </c>
      <c r="J23" s="5" t="s">
        <v>185</v>
      </c>
    </row>
    <row r="24" spans="1:10" ht="21" customHeight="1" x14ac:dyDescent="0.3">
      <c r="A24" s="64"/>
      <c r="B24" s="9" t="s">
        <v>202</v>
      </c>
      <c r="C24" s="13" t="s">
        <v>244</v>
      </c>
      <c r="D24" s="7" t="s">
        <v>245</v>
      </c>
      <c r="E24" s="7" t="s">
        <v>223</v>
      </c>
      <c r="F24" s="21" t="s">
        <v>185</v>
      </c>
      <c r="G24" s="23" t="s">
        <v>185</v>
      </c>
      <c r="H24" s="9" t="s">
        <v>186</v>
      </c>
      <c r="I24" s="9" t="s">
        <v>185</v>
      </c>
      <c r="J24" s="7" t="s">
        <v>246</v>
      </c>
    </row>
    <row r="25" spans="1:10" ht="21" customHeight="1" x14ac:dyDescent="0.3">
      <c r="A25" s="64"/>
      <c r="B25" s="8" t="s">
        <v>208</v>
      </c>
      <c r="C25" s="12" t="s">
        <v>247</v>
      </c>
      <c r="D25" s="5" t="s">
        <v>248</v>
      </c>
      <c r="E25" s="5" t="s">
        <v>223</v>
      </c>
      <c r="F25" s="20" t="s">
        <v>185</v>
      </c>
      <c r="G25" s="22" t="s">
        <v>185</v>
      </c>
      <c r="H25" s="8" t="s">
        <v>186</v>
      </c>
      <c r="I25" s="8" t="s">
        <v>185</v>
      </c>
      <c r="J25" s="5" t="s">
        <v>249</v>
      </c>
    </row>
    <row r="26" spans="1:10" ht="21" customHeight="1" x14ac:dyDescent="0.3">
      <c r="A26" s="64"/>
      <c r="B26" s="9" t="s">
        <v>250</v>
      </c>
      <c r="C26" s="13" t="s">
        <v>251</v>
      </c>
      <c r="D26" s="7" t="s">
        <v>252</v>
      </c>
      <c r="E26" s="7" t="s">
        <v>253</v>
      </c>
      <c r="F26" s="21" t="s">
        <v>185</v>
      </c>
      <c r="G26" s="23" t="s">
        <v>185</v>
      </c>
      <c r="H26" s="9" t="s">
        <v>186</v>
      </c>
      <c r="I26" s="9" t="s">
        <v>185</v>
      </c>
      <c r="J26" s="7" t="s">
        <v>254</v>
      </c>
    </row>
    <row r="27" spans="1:10" ht="21" customHeight="1" x14ac:dyDescent="0.3">
      <c r="A27" s="64"/>
      <c r="B27" s="8" t="s">
        <v>255</v>
      </c>
      <c r="C27" s="12" t="s">
        <v>256</v>
      </c>
      <c r="D27" s="5" t="s">
        <v>257</v>
      </c>
      <c r="E27" s="5" t="s">
        <v>258</v>
      </c>
      <c r="F27" s="20" t="s">
        <v>185</v>
      </c>
      <c r="G27" s="22" t="s">
        <v>185</v>
      </c>
      <c r="H27" s="8" t="s">
        <v>206</v>
      </c>
      <c r="I27" s="8" t="s">
        <v>185</v>
      </c>
      <c r="J27" s="5" t="s">
        <v>185</v>
      </c>
    </row>
    <row r="28" spans="1:10" ht="21" customHeight="1" thickBot="1" x14ac:dyDescent="0.35">
      <c r="A28" s="64"/>
      <c r="B28" s="35" t="s">
        <v>259</v>
      </c>
      <c r="C28" s="36" t="s">
        <v>221</v>
      </c>
      <c r="D28" s="37" t="s">
        <v>234</v>
      </c>
      <c r="E28" s="37" t="s">
        <v>223</v>
      </c>
      <c r="F28" s="38" t="s">
        <v>185</v>
      </c>
      <c r="G28" s="39" t="s">
        <v>185</v>
      </c>
      <c r="H28" s="35" t="s">
        <v>186</v>
      </c>
      <c r="I28" s="35" t="s">
        <v>185</v>
      </c>
      <c r="J28" s="37" t="s">
        <v>185</v>
      </c>
    </row>
    <row r="29" spans="1:10" ht="21" customHeight="1" x14ac:dyDescent="0.3">
      <c r="A29" s="65" t="s">
        <v>260</v>
      </c>
      <c r="B29" s="30" t="s">
        <v>180</v>
      </c>
      <c r="C29" s="31" t="s">
        <v>181</v>
      </c>
      <c r="D29" s="32" t="s">
        <v>261</v>
      </c>
      <c r="E29" s="32" t="s">
        <v>183</v>
      </c>
      <c r="F29" s="33" t="s">
        <v>184</v>
      </c>
      <c r="G29" s="34" t="s">
        <v>185</v>
      </c>
      <c r="H29" s="30" t="s">
        <v>186</v>
      </c>
      <c r="I29" s="30" t="s">
        <v>185</v>
      </c>
      <c r="J29" s="32" t="s">
        <v>187</v>
      </c>
    </row>
    <row r="30" spans="1:10" ht="21" customHeight="1" x14ac:dyDescent="0.3">
      <c r="A30" s="64"/>
      <c r="B30" s="9" t="s">
        <v>188</v>
      </c>
      <c r="C30" s="13" t="s">
        <v>262</v>
      </c>
      <c r="D30" s="7" t="s">
        <v>263</v>
      </c>
      <c r="E30" s="7" t="s">
        <v>183</v>
      </c>
      <c r="F30" s="21" t="s">
        <v>185</v>
      </c>
      <c r="G30" s="23" t="s">
        <v>264</v>
      </c>
      <c r="H30" s="9" t="s">
        <v>186</v>
      </c>
      <c r="I30" s="9" t="s">
        <v>229</v>
      </c>
      <c r="J30" s="7" t="s">
        <v>265</v>
      </c>
    </row>
    <row r="31" spans="1:10" ht="21" customHeight="1" x14ac:dyDescent="0.3">
      <c r="A31" s="64"/>
      <c r="B31" s="8" t="s">
        <v>193</v>
      </c>
      <c r="C31" s="12" t="s">
        <v>231</v>
      </c>
      <c r="D31" s="5" t="s">
        <v>71</v>
      </c>
      <c r="E31" s="5" t="s">
        <v>183</v>
      </c>
      <c r="F31" s="20" t="s">
        <v>185</v>
      </c>
      <c r="G31" s="22" t="s">
        <v>215</v>
      </c>
      <c r="H31" s="8" t="s">
        <v>186</v>
      </c>
      <c r="I31" s="8" t="s">
        <v>229</v>
      </c>
      <c r="J31" s="5" t="s">
        <v>266</v>
      </c>
    </row>
    <row r="32" spans="1:10" ht="21" customHeight="1" x14ac:dyDescent="0.3">
      <c r="A32" s="64"/>
      <c r="B32" s="9" t="s">
        <v>198</v>
      </c>
      <c r="C32" s="13" t="s">
        <v>241</v>
      </c>
      <c r="D32" s="7" t="s">
        <v>267</v>
      </c>
      <c r="E32" s="7" t="s">
        <v>243</v>
      </c>
      <c r="F32" s="21" t="s">
        <v>185</v>
      </c>
      <c r="G32" s="23" t="s">
        <v>185</v>
      </c>
      <c r="H32" s="9" t="s">
        <v>186</v>
      </c>
      <c r="I32" s="9" t="s">
        <v>185</v>
      </c>
      <c r="J32" s="7" t="s">
        <v>185</v>
      </c>
    </row>
    <row r="33" spans="1:10" ht="21" customHeight="1" x14ac:dyDescent="0.3">
      <c r="A33" s="64"/>
      <c r="B33" s="8" t="s">
        <v>202</v>
      </c>
      <c r="C33" s="12" t="s">
        <v>256</v>
      </c>
      <c r="D33" s="5" t="s">
        <v>257</v>
      </c>
      <c r="E33" s="5" t="s">
        <v>258</v>
      </c>
      <c r="F33" s="20" t="s">
        <v>185</v>
      </c>
      <c r="G33" s="22" t="s">
        <v>185</v>
      </c>
      <c r="H33" s="8" t="s">
        <v>206</v>
      </c>
      <c r="I33" s="8" t="s">
        <v>185</v>
      </c>
      <c r="J33" s="5" t="s">
        <v>185</v>
      </c>
    </row>
    <row r="34" spans="1:10" ht="21" customHeight="1" x14ac:dyDescent="0.3">
      <c r="A34" s="64"/>
      <c r="B34" s="9" t="s">
        <v>208</v>
      </c>
      <c r="C34" s="13" t="s">
        <v>268</v>
      </c>
      <c r="D34" s="7" t="s">
        <v>269</v>
      </c>
      <c r="E34" s="7" t="s">
        <v>223</v>
      </c>
      <c r="F34" s="21" t="s">
        <v>185</v>
      </c>
      <c r="G34" s="23" t="s">
        <v>185</v>
      </c>
      <c r="H34" s="9" t="s">
        <v>186</v>
      </c>
      <c r="I34" s="9" t="s">
        <v>185</v>
      </c>
      <c r="J34" s="7" t="s">
        <v>270</v>
      </c>
    </row>
    <row r="35" spans="1:10" ht="21" customHeight="1" x14ac:dyDescent="0.3">
      <c r="A35" s="64"/>
      <c r="B35" s="8" t="s">
        <v>250</v>
      </c>
      <c r="C35" s="12" t="s">
        <v>271</v>
      </c>
      <c r="D35" s="5" t="s">
        <v>10</v>
      </c>
      <c r="E35" s="5" t="s">
        <v>205</v>
      </c>
      <c r="F35" s="20" t="s">
        <v>185</v>
      </c>
      <c r="G35" s="22" t="s">
        <v>185</v>
      </c>
      <c r="H35" s="8" t="s">
        <v>186</v>
      </c>
      <c r="I35" s="8" t="s">
        <v>185</v>
      </c>
      <c r="J35" s="5" t="s">
        <v>272</v>
      </c>
    </row>
    <row r="36" spans="1:10" ht="21" customHeight="1" x14ac:dyDescent="0.3">
      <c r="A36" s="64"/>
      <c r="B36" s="9" t="s">
        <v>255</v>
      </c>
      <c r="C36" s="13" t="s">
        <v>273</v>
      </c>
      <c r="D36" s="7" t="s">
        <v>274</v>
      </c>
      <c r="E36" s="7" t="s">
        <v>253</v>
      </c>
      <c r="F36" s="21" t="s">
        <v>185</v>
      </c>
      <c r="G36" s="23" t="s">
        <v>185</v>
      </c>
      <c r="H36" s="9" t="s">
        <v>206</v>
      </c>
      <c r="I36" s="9" t="s">
        <v>185</v>
      </c>
      <c r="J36" s="7" t="s">
        <v>275</v>
      </c>
    </row>
    <row r="37" spans="1:10" ht="21" customHeight="1" x14ac:dyDescent="0.3">
      <c r="A37" s="64"/>
      <c r="B37" s="8" t="s">
        <v>259</v>
      </c>
      <c r="C37" s="12" t="s">
        <v>276</v>
      </c>
      <c r="D37" s="5" t="s">
        <v>277</v>
      </c>
      <c r="E37" s="5" t="s">
        <v>243</v>
      </c>
      <c r="F37" s="20" t="s">
        <v>185</v>
      </c>
      <c r="G37" s="22" t="s">
        <v>185</v>
      </c>
      <c r="H37" s="8" t="s">
        <v>206</v>
      </c>
      <c r="I37" s="8" t="s">
        <v>185</v>
      </c>
      <c r="J37" s="5" t="s">
        <v>185</v>
      </c>
    </row>
    <row r="38" spans="1:10" ht="21" customHeight="1" thickBot="1" x14ac:dyDescent="0.35">
      <c r="A38" s="66"/>
      <c r="B38" s="25" t="s">
        <v>278</v>
      </c>
      <c r="C38" s="26" t="s">
        <v>279</v>
      </c>
      <c r="D38" s="27" t="s">
        <v>280</v>
      </c>
      <c r="E38" s="27" t="s">
        <v>223</v>
      </c>
      <c r="F38" s="28" t="s">
        <v>185</v>
      </c>
      <c r="G38" s="29" t="s">
        <v>185</v>
      </c>
      <c r="H38" s="25" t="s">
        <v>206</v>
      </c>
      <c r="I38" s="25" t="s">
        <v>185</v>
      </c>
      <c r="J38" s="27" t="s">
        <v>185</v>
      </c>
    </row>
  </sheetData>
  <mergeCells count="5">
    <mergeCell ref="A5:A10"/>
    <mergeCell ref="A11:A15"/>
    <mergeCell ref="A16:A19"/>
    <mergeCell ref="A20:A28"/>
    <mergeCell ref="A29:A38"/>
  </mergeCells>
  <phoneticPr fontId="4" type="noConversion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요구사항정의서</vt:lpstr>
      <vt:lpstr>비즈니스규칙</vt:lpstr>
      <vt:lpstr>화면목록</vt:lpstr>
      <vt:lpstr>ERD</vt:lpstr>
      <vt:lpstr>테이블정의서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2026-09-30T02:25:04Z</dcterms:created>
  <dcterms:modified xsi:type="dcterms:W3CDTF">2026-10-07T06:29:01Z</dcterms:modified>
</cp:coreProperties>
</file>